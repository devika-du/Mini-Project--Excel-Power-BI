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DA\"/>
    </mc:Choice>
  </mc:AlternateContent>
  <xr:revisionPtr revIDLastSave="0" documentId="8_{7590454A-CA4A-42BC-8C01-D4E48679FD3C}" xr6:coauthVersionLast="47" xr6:coauthVersionMax="47" xr10:uidLastSave="{00000000-0000-0000-0000-000000000000}"/>
  <bookViews>
    <workbookView xWindow="-108" yWindow="-108" windowWidth="23256" windowHeight="12456" activeTab="1" xr2:uid="{07443603-A1C4-4B7A-99F7-3EC7015EC10C}"/>
  </bookViews>
  <sheets>
    <sheet name="Rice_price_dataset_dirty" sheetId="3" r:id="rId1"/>
    <sheet name="rice_price_dataset_cleaned" sheetId="1" r:id="rId2"/>
    <sheet name="Pivot Table&amp;Charts" sheetId="2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P8" i="1"/>
  <c r="P7" i="1"/>
  <c r="P6" i="1"/>
  <c r="P5" i="1"/>
  <c r="P4" i="1"/>
</calcChain>
</file>

<file path=xl/sharedStrings.xml><?xml version="1.0" encoding="utf-8"?>
<sst xmlns="http://schemas.openxmlformats.org/spreadsheetml/2006/main" count="5612" uniqueCount="47">
  <si>
    <t>Rice_ID</t>
  </si>
  <si>
    <t>Region</t>
  </si>
  <si>
    <t>Rice_Type</t>
  </si>
  <si>
    <t>Price_per_kg</t>
  </si>
  <si>
    <t>Demand_Tons</t>
  </si>
  <si>
    <t>Supply_Tons</t>
  </si>
  <si>
    <t>Rainfall_mm</t>
  </si>
  <si>
    <t>Temperature_C</t>
  </si>
  <si>
    <t>Import_Export</t>
  </si>
  <si>
    <t>Date</t>
  </si>
  <si>
    <t>West</t>
  </si>
  <si>
    <t>Jasmine</t>
  </si>
  <si>
    <t>South</t>
  </si>
  <si>
    <t>East</t>
  </si>
  <si>
    <t>North</t>
  </si>
  <si>
    <t>Brown</t>
  </si>
  <si>
    <t>Export</t>
  </si>
  <si>
    <t>White</t>
  </si>
  <si>
    <t>Import</t>
  </si>
  <si>
    <t>Basmati</t>
  </si>
  <si>
    <t>Unknown</t>
  </si>
  <si>
    <t xml:space="preserve">South </t>
  </si>
  <si>
    <t>Median of price per kg=</t>
  </si>
  <si>
    <t>Median of Demand Tons=</t>
  </si>
  <si>
    <t>Mean of Supply Tons=</t>
  </si>
  <si>
    <t>Mean of Rainfall mm=</t>
  </si>
  <si>
    <t>Mean of Temp C =</t>
  </si>
  <si>
    <t>Row Labels</t>
  </si>
  <si>
    <t>Grand Total</t>
  </si>
  <si>
    <t>Sum of Demand_Tons</t>
  </si>
  <si>
    <t>Sum of Supply_Tons</t>
  </si>
  <si>
    <t>Count of Rice_ID</t>
  </si>
  <si>
    <t>Average of Rainfall_mm</t>
  </si>
  <si>
    <t>2023</t>
  </si>
  <si>
    <t>2024</t>
  </si>
  <si>
    <t>2025</t>
  </si>
  <si>
    <t>Column Labels</t>
  </si>
  <si>
    <t>Average of Price_per_kg</t>
  </si>
  <si>
    <t>Average of Temperature_C</t>
  </si>
  <si>
    <t>Imputed Region</t>
  </si>
  <si>
    <t>import</t>
  </si>
  <si>
    <t>basmati</t>
  </si>
  <si>
    <t xml:space="preserve">south </t>
  </si>
  <si>
    <t>NORTH</t>
  </si>
  <si>
    <t>EXPORT</t>
  </si>
  <si>
    <t>unknown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</si>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</sst>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2" formatCode="0.00"/>
      <alignment horizontal="center" vertical="bottom" textRotation="0" wrapText="0" indent="0" justifyLastLine="0" shrinkToFit="0" readingOrder="0"/>
    </dxf>
    <dxf>
      <numFmt numFmtId="19" formatCode="dd/mm/yyyy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[rice_price_dataset_cleaned.xlsx]Pivot Table&amp;Charts!PivotTable1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Region Wise Demand &amp; Supply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Table&amp;Charts'!$B$3</c:f>
              <c:strCache>
                <c:ptCount val="1"/>
                <c:pt idx="0">
                  <c:v>Sum of Demand_Tons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Table&amp;Charts'!$A$4:$A$8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Table&amp;Charts'!$B$4:$B$8</c:f>
              <c:numCache>
                <c:formatCode>0.00</c:formatCode>
                <c:ptCount val="4"/>
                <c:pt idx="0">
                  <c:v>65638.310193399986</c:v>
                </c:pt>
                <c:pt idx="1">
                  <c:v>160012.07217719997</c:v>
                </c:pt>
                <c:pt idx="2">
                  <c:v>146044.41341659997</c:v>
                </c:pt>
                <c:pt idx="3">
                  <c:v>78132.346995199929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E-4783-B6A5-EED05670F69E}"/>
            </c:ext>
          </c:extLst>
        </c:ser>
        <c:ser>
          <c:idx val="1"/>
          <c:order val="1"/>
          <c:tx>
            <c:strRef>
              <c:f>'Pivot Table&amp;Charts'!$C$3</c:f>
              <c:strCache>
                <c:ptCount val="1"/>
                <c:pt idx="0">
                  <c:v>Sum of Supply_Tons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Table&amp;Charts'!$A$4:$A$8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Table&amp;Charts'!$C$4:$C$8</c:f>
              <c:numCache>
                <c:formatCode>0.00</c:formatCode>
                <c:ptCount val="4"/>
                <c:pt idx="0">
                  <c:v>61202.579112599989</c:v>
                </c:pt>
                <c:pt idx="1">
                  <c:v>143473.73224269997</c:v>
                </c:pt>
                <c:pt idx="2">
                  <c:v>130431.68944589997</c:v>
                </c:pt>
                <c:pt idx="3">
                  <c:v>75308.063428399997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FE-4783-B6A5-EED05670F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03239631"/>
        <c:axId val="781810031"/>
      </c:barChart>
      <c:catAx>
        <c:axId val="50323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810031"/>
        <c:crosses val="autoZero"/>
        <c:auto val="1"/>
        <c:lblAlgn val="ctr"/>
        <c:lblOffset val="100"/>
        <c:noMultiLvlLbl val="0"/>
      </c:catAx>
      <c:valAx>
        <c:axId val="78181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239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[rice_price_dataset_cleaned.xlsx]Pivot Table&amp;Charts!PivotTable2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Import &amp; Export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76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76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7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tint val="77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tint val="77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tint val="7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Table&amp;Charts'!$B$19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A3B-42B2-AB03-414D4A461D3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A3B-42B2-AB03-414D4A461D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Table&amp;Charts'!$A$20:$A$22</c:f>
              <c:strCache>
                <c:ptCount val="2"/>
                <c:pt idx="0">
                  <c:v>Export</c:v>
                </c:pt>
                <c:pt idx="1">
                  <c:v>Import</c:v>
                </c:pt>
              </c:strCache>
            </c:strRef>
          </c:cat>
          <c:val>
            <c:numRef>
              <c:f>'Pivot Table&amp;Charts'!$B$20:$B$22</c:f>
              <c:numCache>
                <c:formatCode>General</c:formatCode>
                <c:ptCount val="2"/>
                <c:pt idx="0">
                  <c:v>383</c:v>
                </c:pt>
                <c:pt idx="1">
                  <c:v>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1-4678-BE36-14D5A30105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191192865105918"/>
          <c:y val="0.48291753479268701"/>
          <c:w val="0.19686544342507648"/>
          <c:h val="0.2765164019446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[rice_price_dataset_cleaned.xlsx]Pivot Table&amp;Charts!PivotTable3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Demand by Rice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Table&amp;Charts'!$B$34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Table&amp;Charts'!$A$35:$A$39</c:f>
              <c:strCache>
                <c:ptCount val="4"/>
                <c:pt idx="0">
                  <c:v>Basmati</c:v>
                </c:pt>
                <c:pt idx="1">
                  <c:v>Brown</c:v>
                </c:pt>
                <c:pt idx="2">
                  <c:v>Jasmine</c:v>
                </c:pt>
                <c:pt idx="3">
                  <c:v>White</c:v>
                </c:pt>
              </c:strCache>
            </c:strRef>
          </c:cat>
          <c:val>
            <c:numRef>
              <c:f>'Pivot Table&amp;Charts'!$B$35:$B$39</c:f>
              <c:numCache>
                <c:formatCode>0.00</c:formatCode>
                <c:ptCount val="4"/>
                <c:pt idx="0">
                  <c:v>174766.63963230007</c:v>
                </c:pt>
                <c:pt idx="1">
                  <c:v>96180.147518600046</c:v>
                </c:pt>
                <c:pt idx="2">
                  <c:v>88043.23735679996</c:v>
                </c:pt>
                <c:pt idx="3">
                  <c:v>72983.091387499968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5F-4FAB-96B8-A776DEF487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03231279"/>
        <c:axId val="781805231"/>
      </c:barChart>
      <c:catAx>
        <c:axId val="503231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805231"/>
        <c:crosses val="autoZero"/>
        <c:auto val="1"/>
        <c:lblAlgn val="ctr"/>
        <c:lblOffset val="100"/>
        <c:noMultiLvlLbl val="0"/>
      </c:catAx>
      <c:valAx>
        <c:axId val="78180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231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[rice_price_dataset_cleaned.xlsx]Pivot Table&amp;Charts!PivotTable5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Avg</a:t>
            </a:r>
            <a:r>
              <a:rPr lang="en-IN" baseline="0"/>
              <a:t> Rice price by year&amp;Rice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Table&amp;Charts'!$B$64:$B$65</c:f>
              <c:strCache>
                <c:ptCount val="1"/>
                <c:pt idx="0">
                  <c:v>Basmati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Table&amp;Charts'!$A$66:$A$69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'Pivot Table&amp;Charts'!$B$66:$B$69</c:f>
              <c:numCache>
                <c:formatCode>0.00</c:formatCode>
                <c:ptCount val="3"/>
                <c:pt idx="0">
                  <c:v>52.590521509338835</c:v>
                </c:pt>
                <c:pt idx="1">
                  <c:v>54.977498803145174</c:v>
                </c:pt>
                <c:pt idx="2">
                  <c:v>56.323990856373634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C1-4FC4-9977-F26571124F44}"/>
            </c:ext>
          </c:extLst>
        </c:ser>
        <c:ser>
          <c:idx val="1"/>
          <c:order val="1"/>
          <c:tx>
            <c:strRef>
              <c:f>'Pivot Table&amp;Charts'!$C$64:$C$65</c:f>
              <c:strCache>
                <c:ptCount val="1"/>
                <c:pt idx="0">
                  <c:v>Brown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Table&amp;Charts'!$A$66:$A$69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'Pivot Table&amp;Charts'!$C$66:$C$69</c:f>
              <c:numCache>
                <c:formatCode>0.00</c:formatCode>
                <c:ptCount val="3"/>
                <c:pt idx="0">
                  <c:v>67.707020337258072</c:v>
                </c:pt>
                <c:pt idx="1">
                  <c:v>62.289239553939368</c:v>
                </c:pt>
                <c:pt idx="2">
                  <c:v>52.344850470999994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C1-4FC4-9977-F26571124F44}"/>
            </c:ext>
          </c:extLst>
        </c:ser>
        <c:ser>
          <c:idx val="2"/>
          <c:order val="2"/>
          <c:tx>
            <c:strRef>
              <c:f>'Pivot Table&amp;Charts'!$D$64:$D$65</c:f>
              <c:strCache>
                <c:ptCount val="1"/>
                <c:pt idx="0">
                  <c:v>Jasmine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Table&amp;Charts'!$A$66:$A$69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'Pivot Table&amp;Charts'!$D$66:$D$69</c:f>
              <c:numCache>
                <c:formatCode>0.00</c:formatCode>
                <c:ptCount val="3"/>
                <c:pt idx="0">
                  <c:v>56.433513047142846</c:v>
                </c:pt>
                <c:pt idx="1">
                  <c:v>53.472049022608701</c:v>
                </c:pt>
                <c:pt idx="2">
                  <c:v>58.388799840487813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C1-4FC4-9977-F26571124F44}"/>
            </c:ext>
          </c:extLst>
        </c:ser>
        <c:ser>
          <c:idx val="3"/>
          <c:order val="3"/>
          <c:tx>
            <c:strRef>
              <c:f>'Pivot Table&amp;Charts'!$E$64:$E$65</c:f>
              <c:strCache>
                <c:ptCount val="1"/>
                <c:pt idx="0">
                  <c:v>White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Table&amp;Charts'!$A$66:$A$69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'Pivot Table&amp;Charts'!$E$66:$E$69</c:f>
              <c:numCache>
                <c:formatCode>0.00</c:formatCode>
                <c:ptCount val="3"/>
                <c:pt idx="0">
                  <c:v>53.570636532321423</c:v>
                </c:pt>
                <c:pt idx="1">
                  <c:v>45.451033889333331</c:v>
                </c:pt>
                <c:pt idx="2">
                  <c:v>56.973402644390248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C1-4FC4-9977-F26571124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78293967"/>
        <c:axId val="781809551"/>
      </c:barChart>
      <c:catAx>
        <c:axId val="87829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809551"/>
        <c:crosses val="autoZero"/>
        <c:auto val="1"/>
        <c:lblAlgn val="ctr"/>
        <c:lblOffset val="100"/>
        <c:noMultiLvlLbl val="0"/>
      </c:catAx>
      <c:valAx>
        <c:axId val="78180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293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[rice_price_dataset_cleaned.xlsx]Pivot Table&amp;Charts!PivotTable6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Temp by Rice type</a:t>
            </a:r>
            <a:endParaRPr lang="en-US"/>
          </a:p>
        </c:rich>
      </c:tx>
      <c:layout>
        <c:manualLayout>
          <c:xMode val="edge"/>
          <c:yMode val="edge"/>
          <c:x val="0.27263888888888893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Table&amp;Charts'!$B$82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Table&amp;Charts'!$A$83:$A$87</c:f>
              <c:strCache>
                <c:ptCount val="4"/>
                <c:pt idx="0">
                  <c:v>Basmati</c:v>
                </c:pt>
                <c:pt idx="1">
                  <c:v>Brown</c:v>
                </c:pt>
                <c:pt idx="2">
                  <c:v>Jasmine</c:v>
                </c:pt>
                <c:pt idx="3">
                  <c:v>White</c:v>
                </c:pt>
              </c:strCache>
            </c:strRef>
          </c:cat>
          <c:val>
            <c:numRef>
              <c:f>'Pivot Table&amp;Charts'!$B$83:$B$87</c:f>
              <c:numCache>
                <c:formatCode>0.00</c:formatCode>
                <c:ptCount val="4"/>
                <c:pt idx="0">
                  <c:v>29.592888721309524</c:v>
                </c:pt>
                <c:pt idx="1">
                  <c:v>28.881769197752803</c:v>
                </c:pt>
                <c:pt idx="2">
                  <c:v>30.541026477771055</c:v>
                </c:pt>
                <c:pt idx="3">
                  <c:v>29.762394254295781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F8-401D-9A38-51AEEA5B7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901274159"/>
        <c:axId val="781830671"/>
      </c:barChart>
      <c:valAx>
        <c:axId val="781830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274159"/>
        <c:crosses val="autoZero"/>
        <c:crossBetween val="between"/>
      </c:valAx>
      <c:catAx>
        <c:axId val="901274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8306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[rice_price_dataset_cleaned.xlsx]Pivot Table&amp;Charts!PivotTable4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Rainfall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Table&amp;Charts'!$B$49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Table&amp;Charts'!$A$50:$A$54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Table&amp;Charts'!$B$50:$B$54</c:f>
              <c:numCache>
                <c:formatCode>0.00</c:formatCode>
                <c:ptCount val="4"/>
                <c:pt idx="0">
                  <c:v>194.58985732569224</c:v>
                </c:pt>
                <c:pt idx="1">
                  <c:v>202.28169060418597</c:v>
                </c:pt>
                <c:pt idx="2">
                  <c:v>200.72864048940301</c:v>
                </c:pt>
                <c:pt idx="3">
                  <c:v>193.4826549673684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34-4FC1-9964-A5A035584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44343583"/>
        <c:axId val="454481135"/>
      </c:barChart>
      <c:catAx>
        <c:axId val="54434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481135"/>
        <c:crosses val="autoZero"/>
        <c:auto val="1"/>
        <c:lblAlgn val="ctr"/>
        <c:lblOffset val="100"/>
        <c:noMultiLvlLbl val="0"/>
      </c:catAx>
      <c:valAx>
        <c:axId val="45448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34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</xdr:colOff>
      <xdr:row>0</xdr:row>
      <xdr:rowOff>0</xdr:rowOff>
    </xdr:from>
    <xdr:to>
      <xdr:col>13</xdr:col>
      <xdr:colOff>7620</xdr:colOff>
      <xdr:row>12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6F9711-2FC1-22DE-4AFA-456681742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15240</xdr:colOff>
      <xdr:row>14</xdr:row>
      <xdr:rowOff>15240</xdr:rowOff>
    </xdr:from>
    <xdr:to>
      <xdr:col>13</xdr:col>
      <xdr:colOff>7620</xdr:colOff>
      <xdr:row>26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73A51F-633D-64FA-E3C4-9C0434C2CC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45720</xdr:colOff>
      <xdr:row>28</xdr:row>
      <xdr:rowOff>45720</xdr:rowOff>
    </xdr:from>
    <xdr:to>
      <xdr:col>12</xdr:col>
      <xdr:colOff>594360</xdr:colOff>
      <xdr:row>41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7DD66C-8E92-216F-356D-2CEBCDBBD9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579120</xdr:colOff>
      <xdr:row>61</xdr:row>
      <xdr:rowOff>0</xdr:rowOff>
    </xdr:from>
    <xdr:to>
      <xdr:col>14</xdr:col>
      <xdr:colOff>594360</xdr:colOff>
      <xdr:row>73</xdr:row>
      <xdr:rowOff>45720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2E3457D-1C1F-8D3A-D9B7-04A4EC2846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15240</xdr:colOff>
      <xdr:row>78</xdr:row>
      <xdr:rowOff>76200</xdr:rowOff>
    </xdr:from>
    <xdr:to>
      <xdr:col>15</xdr:col>
      <xdr:colOff>91440</xdr:colOff>
      <xdr:row>92</xdr:row>
      <xdr:rowOff>7620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9F96629-2137-43F1-F5E7-E7CFAC228F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22860</xdr:colOff>
      <xdr:row>42</xdr:row>
      <xdr:rowOff>175260</xdr:rowOff>
    </xdr:from>
    <xdr:to>
      <xdr:col>12</xdr:col>
      <xdr:colOff>601980</xdr:colOff>
      <xdr:row>57</xdr:row>
      <xdr:rowOff>99060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6C6AC35-21DA-B7EC-A7FE-334953BF6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69.408261921293" createdVersion="8" refreshedVersion="8" minRefreshableVersion="3" recordCount="1000" xr:uid="{17CBD47C-FBDD-4392-9F3E-326858B8D205}">
  <cacheSource type="worksheet">
    <worksheetSource name="Table1"/>
  </cacheSource>
  <cacheFields count="14">
    <cacheField name="Rice_ID" numFmtId="0">
      <sharedItems containsMixedTypes="1" containsNumber="1" containsInteger="1" minValue="1" maxValue="1000"/>
    </cacheField>
    <cacheField name="Region" numFmtId="0">
      <sharedItems count="6">
        <s v="Unknown"/>
        <s v="West"/>
        <s v="North"/>
        <s v="East"/>
        <s v="South"/>
        <s v="South "/>
      </sharedItems>
    </cacheField>
    <cacheField name="Rice_Type" numFmtId="0">
      <sharedItems count="5">
        <s v="Jasmine"/>
        <s v="Brown"/>
        <s v="Basmati"/>
        <s v="White"/>
        <s v="Unknown"/>
      </sharedItems>
    </cacheField>
    <cacheField name="Price_per_kg" numFmtId="2">
      <sharedItems containsSemiMixedTypes="0" containsString="0" containsNumber="1" minValue="21.117287950000001" maxValue="416.36810179999998"/>
    </cacheField>
    <cacheField name="Demand_Tons" numFmtId="2">
      <sharedItems containsSemiMixedTypes="0" containsString="0" containsNumber="1" minValue="152.85701080000001" maxValue="2793.3544940000002"/>
    </cacheField>
    <cacheField name="Supply_Tons" numFmtId="2">
      <sharedItems containsSemiMixedTypes="0" containsString="0" containsNumber="1" minValue="132.0127464" maxValue="811.91755369999998"/>
    </cacheField>
    <cacheField name="Rainfall_mm" numFmtId="2">
      <sharedItems containsSemiMixedTypes="0" containsString="0" containsNumber="1" minValue="36.249468299999997" maxValue="338.4446155"/>
    </cacheField>
    <cacheField name="Temperature_C" numFmtId="2">
      <sharedItems containsSemiMixedTypes="0" containsString="0" containsNumber="1" minValue="12.08968696" maxValue="45.44944804"/>
    </cacheField>
    <cacheField name="Import_Export" numFmtId="0">
      <sharedItems count="3">
        <s v="Unknown"/>
        <s v="Export"/>
        <s v="Import"/>
      </sharedItems>
    </cacheField>
    <cacheField name="Date" numFmtId="14">
      <sharedItems containsSemiMixedTypes="0" containsNonDate="0" containsDate="1" containsString="0" minDate="2023-01-01T00:00:00" maxDate="2025-09-27T00:00:00" count="1000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20T00:00:00"/>
        <d v="2023-06-21T00:00:00"/>
        <d v="2023-06-22T00:00:00"/>
        <d v="2023-06-23T00:00:00"/>
        <d v="2023-06-24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4-12-21T00:00:00"/>
        <d v="2025-04-17T00:00:00"/>
        <d v="2024-06-02T00:00:00"/>
        <d v="2025-09-10T00:00:00"/>
        <d v="2023-06-19T00:00:00"/>
        <d v="2024-01-04T00:00:00"/>
        <d v="2023-12-07T00:00:00"/>
        <d v="2025-07-06T00:00:00"/>
        <d v="2024-09-05T00:00:00"/>
        <d v="2023-06-25T00:00:00"/>
        <d v="2024-03-13T00:00:00"/>
        <d v="2025-02-17T00:00:00"/>
        <d v="2025-05-05T00:00:00"/>
        <d v="2024-02-06T00:00:00"/>
        <d v="2025-06-16T00:00:00"/>
      </sharedItems>
      <fieldGroup par="13"/>
    </cacheField>
    <cacheField name="Region2" numFmtId="2">
      <sharedItems count="5">
        <s v="Unknown"/>
        <s v="West"/>
        <s v="North"/>
        <s v="East"/>
        <s v="South"/>
      </sharedItems>
    </cacheField>
    <cacheField name="Months (Date)" numFmtId="0" databaseField="0">
      <fieldGroup base="9">
        <rangePr groupBy="months" startDate="2023-01-01T00:00:00" endDate="2025-09-27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-09-2025"/>
        </groupItems>
      </fieldGroup>
    </cacheField>
    <cacheField name="Quarters (Date)" numFmtId="0" databaseField="0">
      <fieldGroup base="9">
        <rangePr groupBy="quarters" startDate="2023-01-01T00:00:00" endDate="2025-09-27T00:00:00"/>
        <groupItems count="6">
          <s v="&lt;01-01-2023"/>
          <s v="Qtr1"/>
          <s v="Qtr2"/>
          <s v="Qtr3"/>
          <s v="Qtr4"/>
          <s v="&gt;27-09-2025"/>
        </groupItems>
      </fieldGroup>
    </cacheField>
    <cacheField name="Years (Date)" numFmtId="0" databaseField="0">
      <fieldGroup base="9">
        <rangePr groupBy="years" startDate="2023-01-01T00:00:00" endDate="2025-09-27T00:00:00"/>
        <groupItems count="5">
          <s v="&lt;01-01-2023"/>
          <s v="2023"/>
          <s v="2024"/>
          <s v="2025"/>
          <s v="&gt;27-09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x v="0"/>
    <n v="42.891280700000003"/>
    <n v="503.25760000000002"/>
    <n v="419.72697909999999"/>
    <n v="231.50743879999999"/>
    <n v="23.03675621"/>
    <x v="0"/>
    <x v="0"/>
    <x v="0"/>
  </r>
  <r>
    <n v="2"/>
    <x v="1"/>
    <x v="1"/>
    <n v="43.308789189999999"/>
    <n v="539.05228980000004"/>
    <n v="420.86937469999998"/>
    <n v="106.1640635"/>
    <n v="36.416895830000001"/>
    <x v="1"/>
    <x v="1"/>
    <x v="1"/>
  </r>
  <r>
    <n v="3"/>
    <x v="2"/>
    <x v="2"/>
    <n v="50.742062140000002"/>
    <n v="525.52733869999997"/>
    <n v="379.66716050000002"/>
    <n v="220.52660069999999"/>
    <n v="41.02764784"/>
    <x v="1"/>
    <x v="2"/>
    <x v="2"/>
  </r>
  <r>
    <n v="4"/>
    <x v="0"/>
    <x v="2"/>
    <n v="47.705973970000002"/>
    <n v="604.58967150000001"/>
    <n v="253.82563690000001"/>
    <n v="244.0142539"/>
    <n v="35.996683900000001"/>
    <x v="0"/>
    <x v="3"/>
    <x v="0"/>
  </r>
  <r>
    <n v="5"/>
    <x v="3"/>
    <x v="2"/>
    <n v="59.505027550000001"/>
    <n v="355.19436280000002"/>
    <n v="507.51769539999998"/>
    <n v="229.43263400000001"/>
    <n v="23.704671869999999"/>
    <x v="2"/>
    <x v="4"/>
    <x v="3"/>
  </r>
  <r>
    <n v="6"/>
    <x v="0"/>
    <x v="3"/>
    <n v="46.570241719999999"/>
    <n v="415.72574100000003"/>
    <n v="685.52012549999995"/>
    <n v="195.80363729999999"/>
    <n v="33.935082850000001"/>
    <x v="2"/>
    <x v="5"/>
    <x v="0"/>
  </r>
  <r>
    <n v="7"/>
    <x v="2"/>
    <x v="0"/>
    <n v="55.055018109999999"/>
    <n v="563.97873319999997"/>
    <n v="472.48025719999998"/>
    <n v="216.66200180000001"/>
    <n v="35.118881510000001"/>
    <x v="2"/>
    <x v="6"/>
    <x v="2"/>
  </r>
  <r>
    <n v="8"/>
    <x v="0"/>
    <x v="2"/>
    <n v="49.710751160000001"/>
    <n v="427.47310220000003"/>
    <n v="257.92420299999998"/>
    <n v="208.4922349"/>
    <n v="27.982811510000001"/>
    <x v="2"/>
    <x v="7"/>
    <x v="0"/>
  </r>
  <r>
    <n v="9"/>
    <x v="4"/>
    <x v="0"/>
    <n v="52.696693570000001"/>
    <n v="524.04712489999997"/>
    <n v="573.64113740000005"/>
    <n v="115.5271331"/>
    <n v="32.444636199999998"/>
    <x v="1"/>
    <x v="8"/>
    <x v="4"/>
  </r>
  <r>
    <n v="10"/>
    <x v="3"/>
    <x v="2"/>
    <n v="47.699435639999997"/>
    <n v="258.02547529999998"/>
    <n v="285.02424120000001"/>
    <n v="209.6660162"/>
    <n v="27.718484839999999"/>
    <x v="2"/>
    <x v="9"/>
    <x v="3"/>
  </r>
  <r>
    <n v="11"/>
    <x v="0"/>
    <x v="3"/>
    <n v="57.077155410000003"/>
    <n v="771.59465720000003"/>
    <n v="334.91587240000001"/>
    <n v="181.64647969999999"/>
    <n v="37.644644970000002"/>
    <x v="1"/>
    <x v="10"/>
    <x v="0"/>
  </r>
  <r>
    <n v="12"/>
    <x v="3"/>
    <x v="3"/>
    <n v="57.225400800000003"/>
    <n v="473.0281468"/>
    <n v="451.39941929999998"/>
    <n v="164.7588915"/>
    <n v="31.826854610000002"/>
    <x v="1"/>
    <x v="11"/>
    <x v="3"/>
  </r>
  <r>
    <n v="13"/>
    <x v="3"/>
    <x v="2"/>
    <n v="54.599290259999997"/>
    <n v="619.39562599999999"/>
    <n v="494.74121259999998"/>
    <n v="324.24849769999997"/>
    <n v="25.414222540000001"/>
    <x v="2"/>
    <x v="12"/>
    <x v="3"/>
  </r>
  <r>
    <n v="14"/>
    <x v="2"/>
    <x v="0"/>
    <n v="56.075143269999998"/>
    <n v="466.3102174"/>
    <n v="358.9603199"/>
    <n v="262.630786"/>
    <n v="33.34904049"/>
    <x v="1"/>
    <x v="13"/>
    <x v="2"/>
  </r>
  <r>
    <n v="15"/>
    <x v="1"/>
    <x v="4"/>
    <n v="40.556312220000002"/>
    <n v="541.46985289999998"/>
    <n v="446.72207320000001"/>
    <n v="142.49139700000001"/>
    <n v="35.293903370000002"/>
    <x v="0"/>
    <x v="14"/>
    <x v="1"/>
  </r>
  <r>
    <n v="16"/>
    <x v="3"/>
    <x v="2"/>
    <n v="53.232457629999999"/>
    <n v="649.19196460000001"/>
    <n v="565.81948809999994"/>
    <n v="217.3318098"/>
    <n v="30.99065826"/>
    <x v="2"/>
    <x v="15"/>
    <x v="3"/>
  </r>
  <r>
    <n v="17"/>
    <x v="5"/>
    <x v="0"/>
    <n v="62.492017670000003"/>
    <n v="616.58060190000003"/>
    <n v="582.26146619999997"/>
    <n v="272.90126379999998"/>
    <n v="32.397208460000002"/>
    <x v="1"/>
    <x v="16"/>
    <x v="4"/>
  </r>
  <r>
    <n v="18"/>
    <x v="2"/>
    <x v="2"/>
    <n v="54.91404567"/>
    <n v="479.55450200000001"/>
    <n v="630.17477059999999"/>
    <n v="125.1900423"/>
    <n v="29.65123285"/>
    <x v="2"/>
    <x v="17"/>
    <x v="2"/>
  </r>
  <r>
    <n v="19"/>
    <x v="4"/>
    <x v="4"/>
    <n v="39.692824969999997"/>
    <n v="486.47456749999998"/>
    <n v="709.13023829999997"/>
    <n v="203.84915710000001"/>
    <n v="24.328597729999998"/>
    <x v="1"/>
    <x v="18"/>
    <x v="4"/>
  </r>
  <r>
    <n v="20"/>
    <x v="1"/>
    <x v="1"/>
    <n v="49.502334900000001"/>
    <n v="600.35665600000004"/>
    <n v="577.18671859999995"/>
    <n v="206.2036363"/>
    <n v="29.241331209999998"/>
    <x v="1"/>
    <x v="19"/>
    <x v="1"/>
  </r>
  <r>
    <n v="21"/>
    <x v="5"/>
    <x v="1"/>
    <n v="53.74977938"/>
    <n v="733.32444039999996"/>
    <n v="453.99161830000003"/>
    <n v="136.27535589999999"/>
    <n v="32.615198159999998"/>
    <x v="2"/>
    <x v="20"/>
    <x v="4"/>
  </r>
  <r>
    <n v="22"/>
    <x v="5"/>
    <x v="1"/>
    <n v="42.426004829999997"/>
    <n v="519.22826740000005"/>
    <n v="583.11765490000005"/>
    <n v="218.9775152"/>
    <n v="29.359865660000001"/>
    <x v="2"/>
    <x v="21"/>
    <x v="4"/>
  </r>
  <r>
    <n v="23"/>
    <x v="4"/>
    <x v="1"/>
    <n v="36.417288030000002"/>
    <n v="695.70636409999997"/>
    <n v="536.00594809999996"/>
    <n v="255.8123195"/>
    <n v="34.003827129999998"/>
    <x v="1"/>
    <x v="22"/>
    <x v="4"/>
  </r>
  <r>
    <n v="24"/>
    <x v="1"/>
    <x v="2"/>
    <n v="46.839021320000001"/>
    <n v="475.85855900000001"/>
    <n v="540.76403730000004"/>
    <n v="275.40237960000002"/>
    <n v="28.039092190000002"/>
    <x v="1"/>
    <x v="23"/>
    <x v="1"/>
  </r>
  <r>
    <n v="25"/>
    <x v="2"/>
    <x v="1"/>
    <n v="42.59167592"/>
    <n v="595.19603640000003"/>
    <n v="501.26625419999999"/>
    <n v="187.53179489999999"/>
    <n v="28.367045860000001"/>
    <x v="1"/>
    <x v="24"/>
    <x v="2"/>
  </r>
  <r>
    <n v="26"/>
    <x v="2"/>
    <x v="4"/>
    <n v="49.857109690000001"/>
    <n v="610.11557619999996"/>
    <n v="370.55350770000001"/>
    <n v="199.07849999999999"/>
    <n v="34.155599989999999"/>
    <x v="2"/>
    <x v="25"/>
    <x v="2"/>
  </r>
  <r>
    <n v="27"/>
    <x v="1"/>
    <x v="3"/>
    <n v="34.085953529999998"/>
    <n v="459.0039496"/>
    <n v="356.6284311"/>
    <n v="97.101662329999996"/>
    <n v="31.109262579999999"/>
    <x v="0"/>
    <x v="26"/>
    <x v="1"/>
  </r>
  <r>
    <n v="28"/>
    <x v="4"/>
    <x v="3"/>
    <n v="55.647010629999997"/>
    <n v="425.29219210000002"/>
    <n v="468.34581589999999"/>
    <n v="217.8108355"/>
    <n v="27.941392090000001"/>
    <x v="0"/>
    <x v="27"/>
    <x v="4"/>
  </r>
  <r>
    <n v="29"/>
    <x v="5"/>
    <x v="2"/>
    <n v="43.653949650000001"/>
    <n v="614.5389189"/>
    <n v="497.86920909999998"/>
    <n v="129.38528400000001"/>
    <n v="35.169026879999997"/>
    <x v="2"/>
    <x v="28"/>
    <x v="4"/>
  </r>
  <r>
    <n v="30"/>
    <x v="2"/>
    <x v="1"/>
    <n v="59.95752237"/>
    <n v="446.84430630000003"/>
    <n v="398.46708919999998"/>
    <n v="204.5091319"/>
    <n v="26.556321409999999"/>
    <x v="2"/>
    <x v="29"/>
    <x v="2"/>
  </r>
  <r>
    <n v="31"/>
    <x v="1"/>
    <x v="1"/>
    <n v="47.231011600000002"/>
    <n v="410.56500870000002"/>
    <n v="530.80103380000003"/>
    <n v="173.9046625"/>
    <n v="26.3652552"/>
    <x v="2"/>
    <x v="30"/>
    <x v="1"/>
  </r>
  <r>
    <n v="32"/>
    <x v="2"/>
    <x v="1"/>
    <n v="49.746109539999999"/>
    <n v="431.60404979999998"/>
    <n v="729.69190849999995"/>
    <n v="225.34387280000001"/>
    <n v="15.85275594"/>
    <x v="0"/>
    <x v="31"/>
    <x v="2"/>
  </r>
  <r>
    <n v="33"/>
    <x v="2"/>
    <x v="2"/>
    <n v="48.269651209999999"/>
    <n v="446.4386662"/>
    <n v="270.6803137"/>
    <n v="193.65596429999999"/>
    <n v="27.230157259999999"/>
    <x v="1"/>
    <x v="32"/>
    <x v="2"/>
  </r>
  <r>
    <n v="34"/>
    <x v="3"/>
    <x v="0"/>
    <n v="43.118403100000002"/>
    <n v="585.66171050000003"/>
    <n v="549.86933729999998"/>
    <n v="158.7007911"/>
    <n v="36.543583390000002"/>
    <x v="1"/>
    <x v="33"/>
    <x v="3"/>
  </r>
  <r>
    <n v="35"/>
    <x v="3"/>
    <x v="2"/>
    <n v="74.722794620000002"/>
    <n v="551.50426730000004"/>
    <n v="472.08304550000003"/>
    <n v="161.9854526"/>
    <n v="19.638536569999999"/>
    <x v="2"/>
    <x v="34"/>
    <x v="3"/>
  </r>
  <r>
    <n v="36"/>
    <x v="0"/>
    <x v="0"/>
    <n v="45.04133822"/>
    <n v="571.56582449999996"/>
    <n v="534.07866660000002"/>
    <n v="296.62297489999997"/>
    <n v="25.2403993"/>
    <x v="0"/>
    <x v="35"/>
    <x v="0"/>
  </r>
  <r>
    <n v="37"/>
    <x v="4"/>
    <x v="1"/>
    <n v="60.235215220000001"/>
    <n v="542.13798110000005"/>
    <n v="428.31423590000003"/>
    <n v="222.1761869"/>
    <n v="32.195342779999997"/>
    <x v="2"/>
    <x v="36"/>
    <x v="4"/>
  </r>
  <r>
    <n v="38"/>
    <x v="1"/>
    <x v="1"/>
    <n v="39.063710540000002"/>
    <n v="503.25760000000002"/>
    <n v="462.47281379999998"/>
    <n v="114.8935647"/>
    <n v="18.775666130000001"/>
    <x v="0"/>
    <x v="37"/>
    <x v="1"/>
  </r>
  <r>
    <n v="39"/>
    <x v="1"/>
    <x v="2"/>
    <n v="53.721313909999999"/>
    <n v="569.71028560000002"/>
    <n v="495.54005410000002"/>
    <n v="227.53938679999999"/>
    <n v="27.446506930000002"/>
    <x v="1"/>
    <x v="38"/>
    <x v="1"/>
  </r>
  <r>
    <n v="40"/>
    <x v="0"/>
    <x v="2"/>
    <n v="54.788721639999999"/>
    <n v="618.24538270000005"/>
    <n v="443.80393400000003"/>
    <n v="190.2661669"/>
    <n v="35.704316079999998"/>
    <x v="2"/>
    <x v="39"/>
    <x v="0"/>
  </r>
  <r>
    <n v="41"/>
    <x v="5"/>
    <x v="0"/>
    <n v="49.758230230000002"/>
    <n v="558.45032160000005"/>
    <n v="297.53504190000001"/>
    <n v="200.2300544"/>
    <n v="40.215129009999998"/>
    <x v="2"/>
    <x v="40"/>
    <x v="4"/>
  </r>
  <r>
    <n v="42"/>
    <x v="5"/>
    <x v="3"/>
    <n v="44.289952800000002"/>
    <n v="544.96559070000001"/>
    <n v="451.93019629999998"/>
    <n v="240.99440770000001"/>
    <n v="31.451232829999999"/>
    <x v="1"/>
    <x v="41"/>
    <x v="4"/>
  </r>
  <r>
    <n v="43"/>
    <x v="0"/>
    <x v="0"/>
    <n v="47.366780970000001"/>
    <n v="423.29454930000003"/>
    <n v="310.02796460000002"/>
    <n v="259.16135869999999"/>
    <n v="25.367664909999998"/>
    <x v="1"/>
    <x v="42"/>
    <x v="0"/>
  </r>
  <r>
    <n v="44"/>
    <x v="5"/>
    <x v="2"/>
    <n v="45.967104980000002"/>
    <n v="521.18170789999999"/>
    <n v="558.38317329999995"/>
    <n v="157.05936360000001"/>
    <n v="25.199356309999999"/>
    <x v="2"/>
    <x v="43"/>
    <x v="4"/>
  </r>
  <r>
    <n v="45"/>
    <x v="3"/>
    <x v="4"/>
    <n v="74.020262819999999"/>
    <n v="417.97586710000002"/>
    <n v="256.13458789999999"/>
    <n v="198.5129173"/>
    <n v="30.724539849999999"/>
    <x v="1"/>
    <x v="44"/>
    <x v="3"/>
  </r>
  <r>
    <n v="46"/>
    <x v="1"/>
    <x v="2"/>
    <n v="49.773969110000003"/>
    <n v="497.5972142"/>
    <n v="603.43852549999997"/>
    <n v="172.6944499"/>
    <n v="31.404816610000001"/>
    <x v="1"/>
    <x v="45"/>
    <x v="1"/>
  </r>
  <r>
    <n v="47"/>
    <x v="0"/>
    <x v="4"/>
    <n v="55.248887789999998"/>
    <n v="335.97333609999998"/>
    <n v="531.54755999999998"/>
    <n v="229.84310909999999"/>
    <n v="39.2896438"/>
    <x v="2"/>
    <x v="46"/>
    <x v="0"/>
  </r>
  <r>
    <n v="48"/>
    <x v="1"/>
    <x v="2"/>
    <n v="67.8162509"/>
    <n v="336.74415970000001"/>
    <n v="532.0066339"/>
    <n v="188.3847753"/>
    <n v="34.854024260000003"/>
    <x v="1"/>
    <x v="47"/>
    <x v="1"/>
  </r>
  <r>
    <n v="49"/>
    <x v="2"/>
    <x v="2"/>
    <n v="41.236813320000003"/>
    <n v="480.89523100000002"/>
    <n v="220.2828159"/>
    <n v="201.46257399999999"/>
    <n v="30.420532439999999"/>
    <x v="1"/>
    <x v="48"/>
    <x v="2"/>
  </r>
  <r>
    <n v="50"/>
    <x v="3"/>
    <x v="2"/>
    <n v="50.376602329999997"/>
    <n v="445.15603279999999"/>
    <n v="440.56806740000002"/>
    <n v="186.48616190000001"/>
    <n v="28.323963729999999"/>
    <x v="2"/>
    <x v="49"/>
    <x v="3"/>
  </r>
  <r>
    <n v="51"/>
    <x v="2"/>
    <x v="3"/>
    <n v="47.308138679999999"/>
    <n v="510.67871930000001"/>
    <n v="618.42761140000005"/>
    <n v="194.6940242"/>
    <n v="45.073558550000001"/>
    <x v="1"/>
    <x v="50"/>
    <x v="2"/>
  </r>
  <r>
    <n v="52"/>
    <x v="3"/>
    <x v="0"/>
    <n v="49.138615549999997"/>
    <n v="486.52314209999997"/>
    <n v="417.7670425"/>
    <n v="285.23255030000001"/>
    <n v="33.132973999999997"/>
    <x v="0"/>
    <x v="51"/>
    <x v="3"/>
  </r>
  <r>
    <n v="53"/>
    <x v="0"/>
    <x v="4"/>
    <n v="48.209880329999997"/>
    <n v="503.01907870000002"/>
    <n v="350.632542"/>
    <n v="319.53830820000002"/>
    <n v="26.656241430000001"/>
    <x v="2"/>
    <x v="52"/>
    <x v="0"/>
  </r>
  <r>
    <n v="54"/>
    <x v="2"/>
    <x v="0"/>
    <n v="42.681229139999999"/>
    <n v="503.25760000000002"/>
    <n v="403.5995886"/>
    <n v="218.85460470000001"/>
    <n v="28.876885380000001"/>
    <x v="2"/>
    <x v="53"/>
    <x v="2"/>
  </r>
  <r>
    <n v="55"/>
    <x v="2"/>
    <x v="2"/>
    <n v="51.954102849999998"/>
    <n v="453.6731044"/>
    <n v="471.80668530000003"/>
    <n v="195.00151099999999"/>
    <n v="25.612726299999999"/>
    <x v="1"/>
    <x v="54"/>
    <x v="2"/>
  </r>
  <r>
    <n v="56"/>
    <x v="0"/>
    <x v="4"/>
    <n v="39.373672229999997"/>
    <n v="478.05561879999999"/>
    <n v="377.83554600000002"/>
    <n v="120.21816200000001"/>
    <n v="17.977252369999999"/>
    <x v="2"/>
    <x v="55"/>
    <x v="0"/>
  </r>
  <r>
    <n v="57"/>
    <x v="4"/>
    <x v="0"/>
    <n v="59.888827370000001"/>
    <n v="645.5021223"/>
    <n v="628.05806789999997"/>
    <n v="161.97909000000001"/>
    <n v="31.563254959999998"/>
    <x v="2"/>
    <x v="56"/>
    <x v="4"/>
  </r>
  <r>
    <n v="58"/>
    <x v="1"/>
    <x v="2"/>
    <n v="56.233098069999997"/>
    <n v="503.25760000000002"/>
    <n v="472.23989640000002"/>
    <n v="193.66319820000001"/>
    <n v="38.912271079999996"/>
    <x v="0"/>
    <x v="57"/>
    <x v="1"/>
  </r>
  <r>
    <n v="59"/>
    <x v="2"/>
    <x v="1"/>
    <n v="45.065371839999997"/>
    <n v="482.07895250000001"/>
    <n v="413.3316782"/>
    <n v="164.24683899999999"/>
    <n v="21.84721399"/>
    <x v="2"/>
    <x v="58"/>
    <x v="2"/>
  </r>
  <r>
    <n v="60"/>
    <x v="1"/>
    <x v="2"/>
    <n v="45.550166789999999"/>
    <n v="508.25126990000001"/>
    <n v="323.83877680000001"/>
    <n v="169.50496190000001"/>
    <n v="30.27631298"/>
    <x v="2"/>
    <x v="59"/>
    <x v="1"/>
  </r>
  <r>
    <n v="61"/>
    <x v="5"/>
    <x v="0"/>
    <n v="52.755105620000002"/>
    <n v="483.86356269999999"/>
    <n v="538.13359260000004"/>
    <n v="278.76947369999999"/>
    <n v="26.4654761"/>
    <x v="2"/>
    <x v="60"/>
    <x v="4"/>
  </r>
  <r>
    <n v="62"/>
    <x v="4"/>
    <x v="2"/>
    <n v="42.014546840000001"/>
    <n v="429.04277070000001"/>
    <n v="535.39995539999995"/>
    <n v="201.43954070000001"/>
    <n v="32.607512630000002"/>
    <x v="2"/>
    <x v="61"/>
    <x v="4"/>
  </r>
  <r>
    <n v="63"/>
    <x v="4"/>
    <x v="2"/>
    <n v="68.119801240000001"/>
    <n v="400.19701629999997"/>
    <n v="384.93493130000002"/>
    <n v="205.91059960000001"/>
    <n v="29.138349219999998"/>
    <x v="2"/>
    <x v="62"/>
    <x v="4"/>
  </r>
  <r>
    <n v="64"/>
    <x v="2"/>
    <x v="4"/>
    <n v="136.79017020000001"/>
    <n v="423.65686599999998"/>
    <n v="211.64051660000001"/>
    <n v="166.29047199999999"/>
    <n v="23.199726729999998"/>
    <x v="1"/>
    <x v="63"/>
    <x v="2"/>
  </r>
  <r>
    <n v="65"/>
    <x v="4"/>
    <x v="4"/>
    <n v="53.93263151"/>
    <n v="587.2919187"/>
    <n v="529.29146270000001"/>
    <n v="258.87723620000003"/>
    <n v="25.094481429999998"/>
    <x v="2"/>
    <x v="64"/>
    <x v="4"/>
  </r>
  <r>
    <n v="66"/>
    <x v="2"/>
    <x v="1"/>
    <n v="284.07225399999999"/>
    <n v="1748.037898"/>
    <n v="457.58359300000001"/>
    <n v="189.3710686"/>
    <n v="25.848497340000002"/>
    <x v="0"/>
    <x v="65"/>
    <x v="2"/>
  </r>
  <r>
    <n v="67"/>
    <x v="4"/>
    <x v="2"/>
    <n v="44.205367260000003"/>
    <n v="484.50753980000002"/>
    <n v="520.32854020000002"/>
    <n v="173.95681669999999"/>
    <n v="36.72159104"/>
    <x v="1"/>
    <x v="66"/>
    <x v="4"/>
  </r>
  <r>
    <n v="68"/>
    <x v="1"/>
    <x v="2"/>
    <n v="60.890099820000003"/>
    <n v="570.07362850000004"/>
    <n v="714.86094400000002"/>
    <n v="120.9624591"/>
    <n v="36.466296380000003"/>
    <x v="0"/>
    <x v="67"/>
    <x v="1"/>
  </r>
  <r>
    <n v="69"/>
    <x v="1"/>
    <x v="0"/>
    <n v="51.145333659999999"/>
    <n v="472.16088289999999"/>
    <n v="476.78017879999999"/>
    <n v="196.94490429999999"/>
    <n v="28.443260559999999"/>
    <x v="2"/>
    <x v="68"/>
    <x v="1"/>
  </r>
  <r>
    <n v="70"/>
    <x v="0"/>
    <x v="3"/>
    <n v="59.501454709999997"/>
    <n v="563.33613149999996"/>
    <n v="418.33936599999998"/>
    <n v="172.3970999"/>
    <n v="36.139017170000002"/>
    <x v="2"/>
    <x v="69"/>
    <x v="0"/>
  </r>
  <r>
    <n v="71"/>
    <x v="1"/>
    <x v="2"/>
    <n v="48.020468729999997"/>
    <n v="345.92069579999998"/>
    <n v="342.32136389999999"/>
    <n v="284.22898729999997"/>
    <n v="29.1340808"/>
    <x v="2"/>
    <x v="70"/>
    <x v="1"/>
  </r>
  <r>
    <n v="72"/>
    <x v="0"/>
    <x v="2"/>
    <n v="63.172782269999999"/>
    <n v="486.748332"/>
    <n v="442.50938500000001"/>
    <n v="292.19493460000001"/>
    <n v="28.366686210000001"/>
    <x v="1"/>
    <x v="71"/>
    <x v="0"/>
  </r>
  <r>
    <n v="73"/>
    <x v="1"/>
    <x v="1"/>
    <n v="54.01343627"/>
    <n v="507.88960969999999"/>
    <n v="499.26928199999998"/>
    <n v="138.23597530000001"/>
    <n v="30.2855892"/>
    <x v="2"/>
    <x v="72"/>
    <x v="1"/>
  </r>
  <r>
    <n v="74"/>
    <x v="2"/>
    <x v="2"/>
    <n v="71.825070240000002"/>
    <n v="502.31387230000001"/>
    <n v="480.48430000000002"/>
    <n v="143.89233809999999"/>
    <n v="31.424126390000001"/>
    <x v="0"/>
    <x v="73"/>
    <x v="2"/>
  </r>
  <r>
    <n v="75"/>
    <x v="0"/>
    <x v="3"/>
    <n v="46.304783829999998"/>
    <n v="334.70813020000003"/>
    <n v="686.81584080000005"/>
    <n v="186.1840182"/>
    <n v="27.222776039999999"/>
    <x v="2"/>
    <x v="74"/>
    <x v="0"/>
  </r>
  <r>
    <n v="76"/>
    <x v="3"/>
    <x v="4"/>
    <n v="52.045493960000002"/>
    <n v="620.31126459999996"/>
    <n v="539.89026790000003"/>
    <n v="159.19810519999999"/>
    <n v="30.10932871"/>
    <x v="1"/>
    <x v="75"/>
    <x v="3"/>
  </r>
  <r>
    <n v="77"/>
    <x v="5"/>
    <x v="4"/>
    <n v="39.684237529999997"/>
    <n v="414.53270550000002"/>
    <n v="463.82389540000003"/>
    <n v="210.8708288"/>
    <n v="33.936612529999998"/>
    <x v="2"/>
    <x v="76"/>
    <x v="4"/>
  </r>
  <r>
    <n v="78"/>
    <x v="2"/>
    <x v="0"/>
    <n v="44.707017620000002"/>
    <n v="533.50371250000001"/>
    <n v="395.21273050000002"/>
    <n v="183.6688255"/>
    <n v="30.647698200000001"/>
    <x v="1"/>
    <x v="77"/>
    <x v="2"/>
  </r>
  <r>
    <n v="79"/>
    <x v="1"/>
    <x v="3"/>
    <n v="56.186865480000002"/>
    <n v="500.7964283"/>
    <n v="512.00073169999996"/>
    <n v="214.02661699999999"/>
    <n v="30.213914509999999"/>
    <x v="2"/>
    <x v="78"/>
    <x v="1"/>
  </r>
  <r>
    <n v="80"/>
    <x v="4"/>
    <x v="4"/>
    <n v="61.293244379999997"/>
    <n v="503.25760000000002"/>
    <n v="371.159021"/>
    <n v="250.80467609999999"/>
    <n v="32.470901069999996"/>
    <x v="2"/>
    <x v="79"/>
    <x v="4"/>
  </r>
  <r>
    <n v="81"/>
    <x v="1"/>
    <x v="0"/>
    <n v="79.650103520000002"/>
    <n v="718.74888290000001"/>
    <n v="501.57972949999998"/>
    <n v="146.78892450000001"/>
    <n v="33.3335303"/>
    <x v="0"/>
    <x v="80"/>
    <x v="1"/>
  </r>
  <r>
    <n v="82"/>
    <x v="4"/>
    <x v="2"/>
    <n v="49.033710929999998"/>
    <n v="370.96355149999999"/>
    <n v="538.48967119999998"/>
    <n v="249.76056109999999"/>
    <n v="29.686920910000001"/>
    <x v="2"/>
    <x v="81"/>
    <x v="4"/>
  </r>
  <r>
    <n v="83"/>
    <x v="5"/>
    <x v="0"/>
    <n v="203.33932960000001"/>
    <n v="1740.4344470000001"/>
    <n v="454.02573330000001"/>
    <n v="163.5673793"/>
    <n v="27.62909471"/>
    <x v="1"/>
    <x v="82"/>
    <x v="4"/>
  </r>
  <r>
    <n v="84"/>
    <x v="5"/>
    <x v="4"/>
    <n v="57.533257599999999"/>
    <n v="518.90924940000002"/>
    <n v="480.48430000000002"/>
    <n v="307.42414250000002"/>
    <n v="30.946016520000001"/>
    <x v="2"/>
    <x v="83"/>
    <x v="4"/>
  </r>
  <r>
    <n v="85"/>
    <x v="5"/>
    <x v="1"/>
    <n v="38.721727790000003"/>
    <n v="389.46466820000001"/>
    <n v="217.7643783"/>
    <n v="281.04879829999999"/>
    <n v="22.030181349999999"/>
    <x v="1"/>
    <x v="84"/>
    <x v="4"/>
  </r>
  <r>
    <n v="86"/>
    <x v="4"/>
    <x v="1"/>
    <n v="55.64277388"/>
    <n v="578.21826080000005"/>
    <n v="617.26040720000003"/>
    <n v="194.34598320000001"/>
    <n v="28.948390020000001"/>
    <x v="0"/>
    <x v="85"/>
    <x v="4"/>
  </r>
  <r>
    <n v="87"/>
    <x v="1"/>
    <x v="1"/>
    <n v="44.977442840000002"/>
    <n v="584.33726220000005"/>
    <n v="528.39604680000002"/>
    <n v="151.82082779999999"/>
    <n v="17.642200460000002"/>
    <x v="2"/>
    <x v="86"/>
    <x v="1"/>
  </r>
  <r>
    <n v="88"/>
    <x v="5"/>
    <x v="4"/>
    <n v="52.115949700000002"/>
    <n v="555.94490759999996"/>
    <n v="531.31407379999996"/>
    <n v="142.25670099999999"/>
    <n v="21.621041080000001"/>
    <x v="1"/>
    <x v="87"/>
    <x v="4"/>
  </r>
  <r>
    <n v="89"/>
    <x v="2"/>
    <x v="1"/>
    <n v="60.91046102"/>
    <n v="523.65817509999999"/>
    <n v="292.63771969999999"/>
    <n v="243.68142510000001"/>
    <n v="20.869070749999999"/>
    <x v="1"/>
    <x v="88"/>
    <x v="2"/>
  </r>
  <r>
    <n v="90"/>
    <x v="0"/>
    <x v="3"/>
    <n v="48.892665710000003"/>
    <n v="636.97087780000004"/>
    <n v="645.58064400000001"/>
    <n v="198.47986169999999"/>
    <n v="35.236758709999997"/>
    <x v="0"/>
    <x v="89"/>
    <x v="0"/>
  </r>
  <r>
    <n v="91"/>
    <x v="4"/>
    <x v="2"/>
    <n v="59.328790840000003"/>
    <n v="384.43745180000002"/>
    <n v="424.17397599999998"/>
    <n v="246.34334430000001"/>
    <n v="30.069909079999999"/>
    <x v="2"/>
    <x v="90"/>
    <x v="4"/>
  </r>
  <r>
    <n v="92"/>
    <x v="4"/>
    <x v="0"/>
    <n v="58.731585490000001"/>
    <n v="506.52681949999999"/>
    <n v="445.34456369999998"/>
    <n v="310.21144850000002"/>
    <n v="23.689754879999999"/>
    <x v="1"/>
    <x v="91"/>
    <x v="4"/>
  </r>
  <r>
    <n v="93"/>
    <x v="1"/>
    <x v="0"/>
    <n v="31.356684720000001"/>
    <n v="426.11971310000001"/>
    <n v="351.68557729999998"/>
    <n v="161.48085309999999"/>
    <n v="32.45533022"/>
    <x v="0"/>
    <x v="92"/>
    <x v="1"/>
  </r>
  <r>
    <n v="94"/>
    <x v="4"/>
    <x v="4"/>
    <n v="40.983992540000003"/>
    <n v="588.99163329999999"/>
    <n v="265.56651219999998"/>
    <n v="138.49308780000001"/>
    <n v="34.943272399999998"/>
    <x v="2"/>
    <x v="93"/>
    <x v="4"/>
  </r>
  <r>
    <n v="95"/>
    <x v="4"/>
    <x v="1"/>
    <n v="50.539879999999997"/>
    <n v="316.66588350000001"/>
    <n v="618.88155740000002"/>
    <n v="209.6280117"/>
    <n v="32.542427779999997"/>
    <x v="2"/>
    <x v="94"/>
    <x v="4"/>
  </r>
  <r>
    <n v="96"/>
    <x v="5"/>
    <x v="1"/>
    <n v="70.017371030000007"/>
    <n v="497.19161339999999"/>
    <n v="634.39168429999995"/>
    <n v="257.23798060000001"/>
    <n v="29.056449359999998"/>
    <x v="2"/>
    <x v="95"/>
    <x v="4"/>
  </r>
  <r>
    <n v="97"/>
    <x v="1"/>
    <x v="2"/>
    <n v="48.94608075"/>
    <n v="533.52386869999998"/>
    <n v="460.1366218"/>
    <n v="152.97698550000001"/>
    <n v="31.16243309"/>
    <x v="0"/>
    <x v="96"/>
    <x v="1"/>
  </r>
  <r>
    <n v="98"/>
    <x v="5"/>
    <x v="2"/>
    <n v="67.808292129999998"/>
    <n v="405.2507865"/>
    <n v="398.47385159999999"/>
    <n v="201.7312369"/>
    <n v="34.507482670000002"/>
    <x v="2"/>
    <x v="97"/>
    <x v="4"/>
  </r>
  <r>
    <n v="99"/>
    <x v="0"/>
    <x v="3"/>
    <n v="33.67047719"/>
    <n v="437.38099679999999"/>
    <n v="434.7546997"/>
    <n v="268.50218310000002"/>
    <n v="27.653770810000001"/>
    <x v="2"/>
    <x v="98"/>
    <x v="0"/>
  </r>
  <r>
    <n v="100"/>
    <x v="0"/>
    <x v="0"/>
    <n v="44.272315749999997"/>
    <n v="501.53789810000001"/>
    <n v="438.04620119999998"/>
    <n v="118.3561081"/>
    <n v="30.149334620000001"/>
    <x v="1"/>
    <x v="99"/>
    <x v="0"/>
  </r>
  <r>
    <n v="101"/>
    <x v="5"/>
    <x v="2"/>
    <n v="58.004982419999997"/>
    <n v="595.50963790000003"/>
    <n v="336.01683329999997"/>
    <n v="211.76589809999999"/>
    <n v="28.714034779999999"/>
    <x v="0"/>
    <x v="100"/>
    <x v="4"/>
  </r>
  <r>
    <n v="102"/>
    <x v="0"/>
    <x v="2"/>
    <n v="51.792746039999997"/>
    <n v="396.71307710000002"/>
    <n v="444.92937410000002"/>
    <n v="172.99484530000001"/>
    <n v="21.93292074"/>
    <x v="1"/>
    <x v="101"/>
    <x v="0"/>
  </r>
  <r>
    <n v="103"/>
    <x v="1"/>
    <x v="4"/>
    <n v="55.328598929999998"/>
    <n v="414.15500600000001"/>
    <n v="498.37223920000002"/>
    <n v="206.2078295"/>
    <n v="34.582840900000001"/>
    <x v="2"/>
    <x v="102"/>
    <x v="1"/>
  </r>
  <r>
    <n v="104"/>
    <x v="2"/>
    <x v="0"/>
    <n v="37.461917659999997"/>
    <n v="612.55877710000004"/>
    <n v="602.17886969999995"/>
    <n v="235.4892145"/>
    <n v="40.286359320000003"/>
    <x v="0"/>
    <x v="103"/>
    <x v="2"/>
  </r>
  <r>
    <n v="105"/>
    <x v="5"/>
    <x v="4"/>
    <n v="63.768034929999999"/>
    <n v="472.70245999999997"/>
    <n v="481.70929969999997"/>
    <n v="211.0404254"/>
    <n v="25.631026890000001"/>
    <x v="2"/>
    <x v="104"/>
    <x v="4"/>
  </r>
  <r>
    <n v="106"/>
    <x v="2"/>
    <x v="3"/>
    <n v="57.770160959999998"/>
    <n v="422.24609600000002"/>
    <n v="290.83779490000001"/>
    <n v="149.4888799"/>
    <n v="34.813401169999999"/>
    <x v="2"/>
    <x v="105"/>
    <x v="2"/>
  </r>
  <r>
    <n v="107"/>
    <x v="2"/>
    <x v="2"/>
    <n v="54.016255049999998"/>
    <n v="572.86847969999997"/>
    <n v="522.42574360000003"/>
    <n v="174.93769309999999"/>
    <n v="25.7900311"/>
    <x v="0"/>
    <x v="106"/>
    <x v="2"/>
  </r>
  <r>
    <n v="108"/>
    <x v="4"/>
    <x v="2"/>
    <n v="43.143897189999997"/>
    <n v="451.1803003"/>
    <n v="449.28833259999999"/>
    <n v="271.32964900000002"/>
    <n v="30.663939079999999"/>
    <x v="0"/>
    <x v="107"/>
    <x v="4"/>
  </r>
  <r>
    <n v="109"/>
    <x v="0"/>
    <x v="2"/>
    <n v="53.238001279999999"/>
    <n v="602.74215349999997"/>
    <n v="644.44916330000001"/>
    <n v="216.44664470000001"/>
    <n v="37.540061369999997"/>
    <x v="1"/>
    <x v="108"/>
    <x v="0"/>
  </r>
  <r>
    <n v="110"/>
    <x v="2"/>
    <x v="3"/>
    <n v="47.08510021"/>
    <n v="433.62796229999998"/>
    <n v="651.53493619999995"/>
    <n v="242.01595639999999"/>
    <n v="27.39780507"/>
    <x v="2"/>
    <x v="109"/>
    <x v="2"/>
  </r>
  <r>
    <n v="111"/>
    <x v="4"/>
    <x v="2"/>
    <n v="33.495087900000001"/>
    <n v="484.04054380000002"/>
    <n v="655.73451750000004"/>
    <n v="212.51476550000001"/>
    <n v="29.926567930000001"/>
    <x v="2"/>
    <x v="110"/>
    <x v="4"/>
  </r>
  <r>
    <n v="112"/>
    <x v="2"/>
    <x v="3"/>
    <n v="49.495771480000002"/>
    <n v="594.49716650000005"/>
    <n v="412.6094478"/>
    <n v="240.45580340000001"/>
    <n v="20.99248502"/>
    <x v="2"/>
    <x v="111"/>
    <x v="2"/>
  </r>
  <r>
    <n v="113"/>
    <x v="1"/>
    <x v="0"/>
    <n v="48.432696020000002"/>
    <n v="477.37391289999999"/>
    <n v="718.78260880000005"/>
    <n v="180.19269550000001"/>
    <n v="26.678978279999999"/>
    <x v="2"/>
    <x v="112"/>
    <x v="1"/>
  </r>
  <r>
    <n v="114"/>
    <x v="1"/>
    <x v="1"/>
    <n v="60.624015100000001"/>
    <n v="575.60533220000002"/>
    <n v="522.11310060000005"/>
    <n v="161.62441770000001"/>
    <n v="20.468638389999999"/>
    <x v="2"/>
    <x v="113"/>
    <x v="1"/>
  </r>
  <r>
    <n v="115"/>
    <x v="1"/>
    <x v="2"/>
    <n v="27.655735580000002"/>
    <n v="493.44523930000003"/>
    <n v="675.16564870000002"/>
    <n v="238.18488579999999"/>
    <n v="32.145890600000001"/>
    <x v="1"/>
    <x v="114"/>
    <x v="1"/>
  </r>
  <r>
    <n v="116"/>
    <x v="2"/>
    <x v="2"/>
    <n v="52.351998289999997"/>
    <n v="698.1691806"/>
    <n v="419.68564629999997"/>
    <n v="256.36870049999999"/>
    <n v="29.664100000000001"/>
    <x v="1"/>
    <x v="115"/>
    <x v="2"/>
  </r>
  <r>
    <n v="117"/>
    <x v="2"/>
    <x v="0"/>
    <n v="38.444319520000001"/>
    <n v="656.87786040000003"/>
    <n v="444.16839149999998"/>
    <n v="154.2859345"/>
    <n v="28.891825570000002"/>
    <x v="2"/>
    <x v="116"/>
    <x v="2"/>
  </r>
  <r>
    <n v="118"/>
    <x v="2"/>
    <x v="3"/>
    <n v="53.192233420000001"/>
    <n v="367.19037379999997"/>
    <n v="512.88328230000002"/>
    <n v="171.20275939999999"/>
    <n v="31.429434839999999"/>
    <x v="2"/>
    <x v="117"/>
    <x v="2"/>
  </r>
  <r>
    <n v="119"/>
    <x v="0"/>
    <x v="4"/>
    <n v="53.742800559999999"/>
    <n v="552.22436809999999"/>
    <n v="498.22531320000002"/>
    <n v="199.07849999999999"/>
    <n v="28.371347719999999"/>
    <x v="1"/>
    <x v="118"/>
    <x v="0"/>
  </r>
  <r>
    <n v="120"/>
    <x v="2"/>
    <x v="0"/>
    <n v="49.131552229999997"/>
    <n v="418.35960139999997"/>
    <n v="630.57743319999997"/>
    <n v="280.99123020000002"/>
    <n v="33.702726830000003"/>
    <x v="1"/>
    <x v="119"/>
    <x v="2"/>
  </r>
  <r>
    <n v="121"/>
    <x v="2"/>
    <x v="2"/>
    <n v="58.072931250000003"/>
    <n v="519.15069389999996"/>
    <n v="452.14448179999999"/>
    <n v="228.1567728"/>
    <n v="30.647309679999999"/>
    <x v="0"/>
    <x v="120"/>
    <x v="2"/>
  </r>
  <r>
    <n v="122"/>
    <x v="2"/>
    <x v="3"/>
    <n v="37.542339409999997"/>
    <n v="506.83706289999998"/>
    <n v="619.75379880000003"/>
    <n v="133.7956585"/>
    <n v="20.071683220000001"/>
    <x v="2"/>
    <x v="121"/>
    <x v="2"/>
  </r>
  <r>
    <n v="123"/>
    <x v="0"/>
    <x v="1"/>
    <n v="416.36810179999998"/>
    <n v="1577.8451930000001"/>
    <n v="567.86814089999996"/>
    <n v="195.35086039999999"/>
    <n v="34.699904089999997"/>
    <x v="1"/>
    <x v="122"/>
    <x v="0"/>
  </r>
  <r>
    <n v="124"/>
    <x v="2"/>
    <x v="0"/>
    <n v="42.919211339999997"/>
    <n v="605.84845440000004"/>
    <n v="454.39293379999998"/>
    <n v="187.70606219999999"/>
    <n v="28.052286030000001"/>
    <x v="0"/>
    <x v="123"/>
    <x v="2"/>
  </r>
  <r>
    <n v="125"/>
    <x v="2"/>
    <x v="2"/>
    <n v="34.441013499999997"/>
    <n v="520.33029439999996"/>
    <n v="558.56119409999997"/>
    <n v="141.33652219999999"/>
    <n v="23.648102640000001"/>
    <x v="2"/>
    <x v="124"/>
    <x v="2"/>
  </r>
  <r>
    <n v="126"/>
    <x v="1"/>
    <x v="2"/>
    <n v="47.276040299999998"/>
    <n v="471.53169639999999"/>
    <n v="423.20819440000002"/>
    <n v="194.76040420000001"/>
    <n v="27.805330139999999"/>
    <x v="1"/>
    <x v="125"/>
    <x v="1"/>
  </r>
  <r>
    <n v="127"/>
    <x v="0"/>
    <x v="4"/>
    <n v="29.04842477"/>
    <n v="456.1890176"/>
    <n v="762.02469599999995"/>
    <n v="185.49812800000001"/>
    <n v="20.489651760000001"/>
    <x v="2"/>
    <x v="126"/>
    <x v="0"/>
  </r>
  <r>
    <n v="128"/>
    <x v="3"/>
    <x v="3"/>
    <n v="52.54173892"/>
    <n v="513.97769700000003"/>
    <n v="160.28012150000001"/>
    <n v="181.91837380000001"/>
    <n v="23.750553440000001"/>
    <x v="0"/>
    <x v="127"/>
    <x v="3"/>
  </r>
  <r>
    <n v="129"/>
    <x v="3"/>
    <x v="0"/>
    <n v="47.407495570000002"/>
    <n v="540.79250179999997"/>
    <n v="560.75318449999997"/>
    <n v="179.6309316"/>
    <n v="30.714748050000001"/>
    <x v="2"/>
    <x v="128"/>
    <x v="3"/>
  </r>
  <r>
    <n v="130"/>
    <x v="2"/>
    <x v="0"/>
    <n v="62.336869210000003"/>
    <n v="487.5024214"/>
    <n v="268.24849089999998"/>
    <n v="273.56967739999999"/>
    <n v="31.133558430000001"/>
    <x v="1"/>
    <x v="129"/>
    <x v="2"/>
  </r>
  <r>
    <n v="131"/>
    <x v="3"/>
    <x v="1"/>
    <n v="56.489242109999999"/>
    <n v="216.7480429"/>
    <n v="452.92119559999998"/>
    <n v="181.81484420000001"/>
    <n v="31.53219417"/>
    <x v="0"/>
    <x v="130"/>
    <x v="3"/>
  </r>
  <r>
    <n v="132"/>
    <x v="3"/>
    <x v="1"/>
    <n v="50.539879999999997"/>
    <n v="501.68907159999998"/>
    <n v="469.72702930000003"/>
    <n v="199.07849999999999"/>
    <n v="30.016049339999999"/>
    <x v="0"/>
    <x v="131"/>
    <x v="3"/>
  </r>
  <r>
    <n v="133"/>
    <x v="2"/>
    <x v="2"/>
    <n v="41.616125089999997"/>
    <n v="355.8517938"/>
    <n v="660.91602709999995"/>
    <n v="197.06176439999999"/>
    <n v="26.53567438"/>
    <x v="2"/>
    <x v="132"/>
    <x v="2"/>
  </r>
  <r>
    <n v="134"/>
    <x v="3"/>
    <x v="4"/>
    <n v="55.20664421"/>
    <n v="479.05474340000001"/>
    <n v="396.94173460000002"/>
    <n v="174.7491575"/>
    <n v="29.727704299999999"/>
    <x v="1"/>
    <x v="133"/>
    <x v="3"/>
  </r>
  <r>
    <n v="135"/>
    <x v="2"/>
    <x v="2"/>
    <n v="58.470790100000002"/>
    <n v="359.54357429999999"/>
    <n v="636.96142989999998"/>
    <n v="203.97523659999999"/>
    <n v="27.81396277"/>
    <x v="2"/>
    <x v="134"/>
    <x v="2"/>
  </r>
  <r>
    <n v="136"/>
    <x v="4"/>
    <x v="2"/>
    <n v="62.225009149999998"/>
    <n v="358.35023649999999"/>
    <n v="338.54200320000001"/>
    <n v="203.26752980000001"/>
    <n v="21.871092010000002"/>
    <x v="0"/>
    <x v="135"/>
    <x v="4"/>
  </r>
  <r>
    <n v="137"/>
    <x v="0"/>
    <x v="2"/>
    <n v="62.145092849999997"/>
    <n v="623.51218219999998"/>
    <n v="641.60036690000004"/>
    <n v="203.98782629999999"/>
    <n v="26.137925039999999"/>
    <x v="2"/>
    <x v="136"/>
    <x v="0"/>
  </r>
  <r>
    <n v="138"/>
    <x v="4"/>
    <x v="2"/>
    <n v="49.104773899999998"/>
    <n v="467.99080190000001"/>
    <n v="423.07854700000001"/>
    <n v="157.0383429"/>
    <n v="34.447706160000003"/>
    <x v="1"/>
    <x v="137"/>
    <x v="4"/>
  </r>
  <r>
    <n v="139"/>
    <x v="2"/>
    <x v="4"/>
    <n v="53.626556219999998"/>
    <n v="460.33378399999998"/>
    <n v="488.8121423"/>
    <n v="189.69377460000001"/>
    <n v="37.941470760000001"/>
    <x v="0"/>
    <x v="138"/>
    <x v="2"/>
  </r>
  <r>
    <n v="140"/>
    <x v="1"/>
    <x v="2"/>
    <n v="62.987385039999999"/>
    <n v="548.25240489999999"/>
    <n v="439.6345604"/>
    <n v="238.01609379999999"/>
    <n v="33.256375220000002"/>
    <x v="0"/>
    <x v="139"/>
    <x v="1"/>
  </r>
  <r>
    <n v="141"/>
    <x v="0"/>
    <x v="4"/>
    <n v="46.966915380000003"/>
    <n v="462.94094769999998"/>
    <n v="633.88361689999999"/>
    <n v="191.00916839999999"/>
    <n v="37.718488800000003"/>
    <x v="2"/>
    <x v="140"/>
    <x v="0"/>
  </r>
  <r>
    <n v="142"/>
    <x v="2"/>
    <x v="4"/>
    <n v="53.79726187"/>
    <n v="710.38060919999998"/>
    <n v="610.52878120000003"/>
    <n v="208.08909560000001"/>
    <n v="30.426943049999998"/>
    <x v="1"/>
    <x v="141"/>
    <x v="2"/>
  </r>
  <r>
    <n v="143"/>
    <x v="1"/>
    <x v="3"/>
    <n v="46.731192200000002"/>
    <n v="472.69802390000001"/>
    <n v="533.22020650000002"/>
    <n v="208.35185000000001"/>
    <n v="38.71188042"/>
    <x v="2"/>
    <x v="142"/>
    <x v="1"/>
  </r>
  <r>
    <n v="144"/>
    <x v="4"/>
    <x v="4"/>
    <n v="44.490518860000002"/>
    <n v="536.51254119999999"/>
    <n v="341.77579379999997"/>
    <n v="220.86975649999999"/>
    <n v="40.2724422"/>
    <x v="2"/>
    <x v="143"/>
    <x v="4"/>
  </r>
  <r>
    <n v="145"/>
    <x v="2"/>
    <x v="1"/>
    <n v="50.483851180000002"/>
    <n v="597.09413310000002"/>
    <n v="394.19737579999997"/>
    <n v="227.93254580000001"/>
    <n v="21.332652509999999"/>
    <x v="1"/>
    <x v="144"/>
    <x v="2"/>
  </r>
  <r>
    <n v="146"/>
    <x v="0"/>
    <x v="4"/>
    <n v="43.124565490000002"/>
    <n v="660.22532260000003"/>
    <n v="356.57081690000001"/>
    <n v="191.29246950000001"/>
    <n v="31.107466540000001"/>
    <x v="1"/>
    <x v="145"/>
    <x v="0"/>
  </r>
  <r>
    <n v="147"/>
    <x v="0"/>
    <x v="4"/>
    <n v="48.690840270000002"/>
    <n v="425.7993864"/>
    <n v="210.22285360000001"/>
    <n v="154.43323480000001"/>
    <n v="30.43215095"/>
    <x v="1"/>
    <x v="146"/>
    <x v="0"/>
  </r>
  <r>
    <n v="148"/>
    <x v="5"/>
    <x v="4"/>
    <n v="198.2522568"/>
    <n v="1832.8145979999999"/>
    <n v="631.35817220000001"/>
    <n v="139.06423359999999"/>
    <n v="27.879480919999999"/>
    <x v="0"/>
    <x v="147"/>
    <x v="4"/>
  </r>
  <r>
    <n v="149"/>
    <x v="2"/>
    <x v="2"/>
    <n v="48.100056129999999"/>
    <n v="627.45918749999998"/>
    <n v="440.66117680000002"/>
    <n v="250.8843206"/>
    <n v="32.459577690000003"/>
    <x v="0"/>
    <x v="148"/>
    <x v="2"/>
  </r>
  <r>
    <n v="150"/>
    <x v="3"/>
    <x v="1"/>
    <n v="54.48390294"/>
    <n v="581.00623040000005"/>
    <n v="439.3807243"/>
    <n v="238.51252239999999"/>
    <n v="30.205625340000001"/>
    <x v="2"/>
    <x v="149"/>
    <x v="3"/>
  </r>
  <r>
    <n v="151"/>
    <x v="1"/>
    <x v="1"/>
    <n v="44.112364640000003"/>
    <n v="607.51759360000005"/>
    <n v="659.53226800000004"/>
    <n v="232.46823420000001"/>
    <n v="26.322755399999998"/>
    <x v="0"/>
    <x v="150"/>
    <x v="1"/>
  </r>
  <r>
    <n v="152"/>
    <x v="5"/>
    <x v="2"/>
    <n v="50.092917530000001"/>
    <n v="363.12954559999997"/>
    <n v="422.8813677"/>
    <n v="240.56017639999999"/>
    <n v="29.866974469999999"/>
    <x v="2"/>
    <x v="151"/>
    <x v="4"/>
  </r>
  <r>
    <n v="153"/>
    <x v="3"/>
    <x v="3"/>
    <n v="51.39342594"/>
    <n v="654.79997539999999"/>
    <n v="379.14348769999998"/>
    <n v="191.92220080000001"/>
    <n v="36.022972899999999"/>
    <x v="2"/>
    <x v="152"/>
    <x v="3"/>
  </r>
  <r>
    <n v="154"/>
    <x v="3"/>
    <x v="4"/>
    <n v="54.525348919999999"/>
    <n v="423.85924569999997"/>
    <n v="453.03052550000001"/>
    <n v="168.7561791"/>
    <n v="30.912690479999998"/>
    <x v="2"/>
    <x v="153"/>
    <x v="3"/>
  </r>
  <r>
    <n v="155"/>
    <x v="2"/>
    <x v="0"/>
    <n v="48.664201589999998"/>
    <n v="519.22929780000004"/>
    <n v="344.07971379999998"/>
    <n v="150.97962949999999"/>
    <n v="33.13477374"/>
    <x v="1"/>
    <x v="154"/>
    <x v="2"/>
  </r>
  <r>
    <n v="156"/>
    <x v="3"/>
    <x v="3"/>
    <n v="60.858663419999999"/>
    <n v="485.17771219999997"/>
    <n v="521.32269229999997"/>
    <n v="145.53250019999999"/>
    <n v="28.614734500000001"/>
    <x v="1"/>
    <x v="155"/>
    <x v="3"/>
  </r>
  <r>
    <n v="157"/>
    <x v="2"/>
    <x v="3"/>
    <n v="28.990811390000001"/>
    <n v="412.15171629999998"/>
    <n v="435.16055060000002"/>
    <n v="260.60793439999998"/>
    <n v="32.260320049999997"/>
    <x v="0"/>
    <x v="156"/>
    <x v="2"/>
  </r>
  <r>
    <n v="158"/>
    <x v="0"/>
    <x v="1"/>
    <n v="79.377528470000001"/>
    <n v="358.74642369999998"/>
    <n v="419.12743069999999"/>
    <n v="175.34275719999999"/>
    <n v="23.953927350000001"/>
    <x v="0"/>
    <x v="157"/>
    <x v="0"/>
  </r>
  <r>
    <n v="159"/>
    <x v="5"/>
    <x v="3"/>
    <n v="50.539879999999997"/>
    <n v="325.6151883"/>
    <n v="408.7316194"/>
    <n v="252.7429535"/>
    <n v="27.501397499999999"/>
    <x v="0"/>
    <x v="158"/>
    <x v="4"/>
  </r>
  <r>
    <n v="160"/>
    <x v="3"/>
    <x v="4"/>
    <n v="54.03390023"/>
    <n v="511.90184060000001"/>
    <n v="467.25342069999999"/>
    <n v="190.6557085"/>
    <n v="29.486656960000001"/>
    <x v="2"/>
    <x v="159"/>
    <x v="3"/>
  </r>
  <r>
    <n v="161"/>
    <x v="2"/>
    <x v="4"/>
    <n v="40.6153209"/>
    <n v="347.46809100000002"/>
    <n v="490.01773509999998"/>
    <n v="166.18793959999999"/>
    <n v="23.618320400000002"/>
    <x v="2"/>
    <x v="160"/>
    <x v="2"/>
  </r>
  <r>
    <n v="162"/>
    <x v="2"/>
    <x v="2"/>
    <n v="50.539879999999997"/>
    <n v="386.61844050000002"/>
    <n v="417.60298940000001"/>
    <n v="145.28176010000001"/>
    <n v="25.848916410000001"/>
    <x v="0"/>
    <x v="161"/>
    <x v="2"/>
  </r>
  <r>
    <n v="163"/>
    <x v="4"/>
    <x v="4"/>
    <n v="50.539879999999997"/>
    <n v="478.1964122"/>
    <n v="436.94808769999997"/>
    <n v="170.5922822"/>
    <n v="31.565558840000001"/>
    <x v="0"/>
    <x v="162"/>
    <x v="4"/>
  </r>
  <r>
    <n v="164"/>
    <x v="0"/>
    <x v="4"/>
    <n v="43.49286463"/>
    <n v="236.11914999999999"/>
    <n v="470.21726080000002"/>
    <n v="270.91193909999998"/>
    <n v="30.649159579999999"/>
    <x v="2"/>
    <x v="163"/>
    <x v="0"/>
  </r>
  <r>
    <n v="165"/>
    <x v="0"/>
    <x v="1"/>
    <n v="60.730873449999997"/>
    <n v="577.89797120000003"/>
    <n v="458.10982369999999"/>
    <n v="145.78949600000001"/>
    <n v="34.031827120000003"/>
    <x v="2"/>
    <x v="164"/>
    <x v="0"/>
  </r>
  <r>
    <n v="166"/>
    <x v="5"/>
    <x v="4"/>
    <n v="48.360391200000002"/>
    <n v="259.01118330000003"/>
    <n v="483.72911599999998"/>
    <n v="305.8373411"/>
    <n v="26.997444909999999"/>
    <x v="2"/>
    <x v="165"/>
    <x v="4"/>
  </r>
  <r>
    <n v="167"/>
    <x v="0"/>
    <x v="2"/>
    <n v="55.472159380000001"/>
    <n v="492.26276089999999"/>
    <n v="398.79950359999998"/>
    <n v="157.96962859999999"/>
    <n v="30.288011130000001"/>
    <x v="2"/>
    <x v="166"/>
    <x v="0"/>
  </r>
  <r>
    <n v="168"/>
    <x v="3"/>
    <x v="0"/>
    <n v="40.82840195"/>
    <n v="501.50192270000002"/>
    <n v="600.55114909999998"/>
    <n v="237.49749850000001"/>
    <n v="26.640662949999999"/>
    <x v="0"/>
    <x v="167"/>
    <x v="3"/>
  </r>
  <r>
    <n v="169"/>
    <x v="2"/>
    <x v="1"/>
    <n v="49.691123640000001"/>
    <n v="553.80617199999995"/>
    <n v="491.61938129999999"/>
    <n v="192.73743529999999"/>
    <n v="33.530642749999998"/>
    <x v="1"/>
    <x v="168"/>
    <x v="2"/>
  </r>
  <r>
    <n v="171"/>
    <x v="0"/>
    <x v="1"/>
    <n v="59.629655290000002"/>
    <n v="701.79079639999998"/>
    <n v="521.32610609999995"/>
    <n v="136.42896110000001"/>
    <n v="32.416624140000003"/>
    <x v="0"/>
    <x v="169"/>
    <x v="0"/>
  </r>
  <r>
    <n v="172"/>
    <x v="4"/>
    <x v="2"/>
    <n v="53.076207549999999"/>
    <n v="521.63168819999999"/>
    <n v="471.0757681"/>
    <n v="195.08035090000001"/>
    <n v="35.305971380000003"/>
    <x v="0"/>
    <x v="170"/>
    <x v="4"/>
  </r>
  <r>
    <n v="173"/>
    <x v="4"/>
    <x v="3"/>
    <n v="45.51079172"/>
    <n v="605.36123989999999"/>
    <n v="271.94083749999999"/>
    <n v="142.08570019999999"/>
    <n v="30.162499310000001"/>
    <x v="0"/>
    <x v="171"/>
    <x v="4"/>
  </r>
  <r>
    <n v="174"/>
    <x v="1"/>
    <x v="2"/>
    <n v="50.674985360000001"/>
    <n v="427.65371909999999"/>
    <n v="520.91432280000004"/>
    <n v="115.921145"/>
    <n v="34.027969169999999"/>
    <x v="0"/>
    <x v="172"/>
    <x v="1"/>
  </r>
  <r>
    <n v="175"/>
    <x v="2"/>
    <x v="4"/>
    <n v="51.975659899999997"/>
    <n v="512.07568060000006"/>
    <n v="357.65925570000002"/>
    <n v="205.97993389999999"/>
    <n v="30.377088709999999"/>
    <x v="2"/>
    <x v="173"/>
    <x v="2"/>
  </r>
  <r>
    <n v="177"/>
    <x v="0"/>
    <x v="4"/>
    <n v="39.233394920000002"/>
    <n v="476.23048749999998"/>
    <n v="450.99004330000002"/>
    <n v="284.2174258"/>
    <n v="31.233606940000001"/>
    <x v="1"/>
    <x v="174"/>
    <x v="0"/>
  </r>
  <r>
    <n v="178"/>
    <x v="0"/>
    <x v="3"/>
    <n v="56.684079609999998"/>
    <n v="519.22347639999998"/>
    <n v="573.60843569999997"/>
    <n v="250.0010858"/>
    <n v="25.023516529999998"/>
    <x v="1"/>
    <x v="175"/>
    <x v="0"/>
  </r>
  <r>
    <n v="179"/>
    <x v="2"/>
    <x v="1"/>
    <n v="39.104069019999997"/>
    <n v="598.0853449"/>
    <n v="404.37377359999999"/>
    <n v="284.8716091"/>
    <n v="41.69564476"/>
    <x v="1"/>
    <x v="176"/>
    <x v="2"/>
  </r>
  <r>
    <n v="180"/>
    <x v="1"/>
    <x v="3"/>
    <n v="66.311258519999996"/>
    <n v="425.77704799999998"/>
    <n v="488.3915121"/>
    <n v="165.9558548"/>
    <n v="28.329559209999999"/>
    <x v="2"/>
    <x v="177"/>
    <x v="1"/>
  </r>
  <r>
    <n v="181"/>
    <x v="2"/>
    <x v="2"/>
    <n v="42.283716779999999"/>
    <n v="283.84396670000001"/>
    <n v="625.22922010000002"/>
    <n v="206.80688699999999"/>
    <n v="33.225189280000002"/>
    <x v="0"/>
    <x v="178"/>
    <x v="2"/>
  </r>
  <r>
    <n v="182"/>
    <x v="1"/>
    <x v="3"/>
    <n v="52.966283199999999"/>
    <n v="525.55736539999998"/>
    <n v="447.71801440000002"/>
    <n v="68.966452020000006"/>
    <n v="29.937933900000001"/>
    <x v="0"/>
    <x v="179"/>
    <x v="1"/>
  </r>
  <r>
    <n v="183"/>
    <x v="5"/>
    <x v="2"/>
    <n v="60.051425729999998"/>
    <n v="598.86691689999998"/>
    <n v="409.10194819999998"/>
    <n v="185.90988100000001"/>
    <n v="23.83193288"/>
    <x v="0"/>
    <x v="180"/>
    <x v="4"/>
  </r>
  <r>
    <n v="184"/>
    <x v="2"/>
    <x v="3"/>
    <n v="47.476199569999999"/>
    <n v="364.85542349999997"/>
    <n v="558.60487369999998"/>
    <n v="204.9249174"/>
    <n v="20.507384850000001"/>
    <x v="2"/>
    <x v="181"/>
    <x v="2"/>
  </r>
  <r>
    <n v="185"/>
    <x v="0"/>
    <x v="2"/>
    <n v="53.40600019"/>
    <n v="567.02198969999995"/>
    <n v="556.27939160000005"/>
    <n v="207.70240390000001"/>
    <n v="33.745069780000001"/>
    <x v="2"/>
    <x v="182"/>
    <x v="0"/>
  </r>
  <r>
    <n v="186"/>
    <x v="0"/>
    <x v="0"/>
    <n v="199.94968879999999"/>
    <n v="567.69663869999999"/>
    <n v="414.150104"/>
    <n v="197.88157949999999"/>
    <n v="37.746704630000004"/>
    <x v="2"/>
    <x v="183"/>
    <x v="0"/>
  </r>
  <r>
    <n v="187"/>
    <x v="2"/>
    <x v="4"/>
    <n v="55.644029879999998"/>
    <n v="503.25760000000002"/>
    <n v="241.74467749999999"/>
    <n v="203.32962860000001"/>
    <n v="26.325981460000001"/>
    <x v="1"/>
    <x v="184"/>
    <x v="2"/>
  </r>
  <r>
    <n v="188"/>
    <x v="0"/>
    <x v="4"/>
    <n v="211.01235869999999"/>
    <n v="406.37113679999999"/>
    <n v="406.79724270000003"/>
    <n v="64.337868290000003"/>
    <n v="21.7165374"/>
    <x v="2"/>
    <x v="185"/>
    <x v="0"/>
  </r>
  <r>
    <n v="189"/>
    <x v="3"/>
    <x v="2"/>
    <n v="33.152146049999999"/>
    <n v="460.41712189999998"/>
    <n v="561.28314260000002"/>
    <n v="212.81109180000001"/>
    <n v="28.374186340000001"/>
    <x v="2"/>
    <x v="186"/>
    <x v="3"/>
  </r>
  <r>
    <n v="190"/>
    <x v="2"/>
    <x v="4"/>
    <n v="40.662777470000002"/>
    <n v="482.0376"/>
    <n v="386.99589730000002"/>
    <n v="224.1719946"/>
    <n v="25.314414769999999"/>
    <x v="0"/>
    <x v="187"/>
    <x v="2"/>
  </r>
  <r>
    <n v="191"/>
    <x v="1"/>
    <x v="1"/>
    <n v="60.46920128"/>
    <n v="425.68657350000001"/>
    <n v="478.68745960000001"/>
    <n v="266.90127009999998"/>
    <n v="26.7484216"/>
    <x v="1"/>
    <x v="188"/>
    <x v="1"/>
  </r>
  <r>
    <n v="192"/>
    <x v="2"/>
    <x v="3"/>
    <n v="55.699503049999997"/>
    <n v="420.2997196"/>
    <n v="401.10180739999998"/>
    <n v="218.436903"/>
    <n v="33.051868499999998"/>
    <x v="2"/>
    <x v="189"/>
    <x v="2"/>
  </r>
  <r>
    <n v="193"/>
    <x v="0"/>
    <x v="2"/>
    <n v="57.214662740000001"/>
    <n v="667.14828910000006"/>
    <n v="248.13994049999999"/>
    <n v="193.46314670000001"/>
    <n v="29.747684759999999"/>
    <x v="2"/>
    <x v="190"/>
    <x v="0"/>
  </r>
  <r>
    <n v="194"/>
    <x v="3"/>
    <x v="1"/>
    <n v="239.9521173"/>
    <n v="489.24408679999999"/>
    <n v="398.94225879999999"/>
    <n v="255.24709609999999"/>
    <n v="25.852462209999999"/>
    <x v="2"/>
    <x v="191"/>
    <x v="3"/>
  </r>
  <r>
    <n v="195"/>
    <x v="3"/>
    <x v="1"/>
    <n v="62.897565280000002"/>
    <n v="430.495634"/>
    <n v="560.77584249999995"/>
    <n v="82.133288769999993"/>
    <n v="32.942503930000001"/>
    <x v="1"/>
    <x v="192"/>
    <x v="3"/>
  </r>
  <r>
    <n v="196"/>
    <x v="5"/>
    <x v="2"/>
    <n v="47.386000750000001"/>
    <n v="495.88305229999997"/>
    <n v="195.56970240000001"/>
    <n v="174.25257350000001"/>
    <n v="33.334361729999998"/>
    <x v="2"/>
    <x v="193"/>
    <x v="4"/>
  </r>
  <r>
    <n v="197"/>
    <x v="1"/>
    <x v="4"/>
    <n v="51.20499959"/>
    <n v="553.70908329999997"/>
    <n v="510.26008209999998"/>
    <n v="161.70950099999999"/>
    <n v="28.314712570000001"/>
    <x v="0"/>
    <x v="194"/>
    <x v="1"/>
  </r>
  <r>
    <n v="198"/>
    <x v="4"/>
    <x v="0"/>
    <n v="39.71325667"/>
    <n v="505.1626377"/>
    <n v="337.6716922"/>
    <n v="198.27391"/>
    <n v="30.689582600000001"/>
    <x v="1"/>
    <x v="195"/>
    <x v="4"/>
  </r>
  <r>
    <n v="199"/>
    <x v="4"/>
    <x v="0"/>
    <n v="37.219774170000001"/>
    <n v="479.42724090000002"/>
    <n v="553.01304830000004"/>
    <n v="90.065359389999998"/>
    <n v="32.602509419999997"/>
    <x v="1"/>
    <x v="196"/>
    <x v="4"/>
  </r>
  <r>
    <n v="200"/>
    <x v="2"/>
    <x v="2"/>
    <n v="33.562592840000001"/>
    <n v="434.99833310000002"/>
    <n v="565.71827229999997"/>
    <n v="265.98178309999997"/>
    <n v="32.13051565"/>
    <x v="2"/>
    <x v="197"/>
    <x v="2"/>
  </r>
  <r>
    <n v="201"/>
    <x v="5"/>
    <x v="0"/>
    <n v="41.148365009999999"/>
    <n v="433.78691550000002"/>
    <n v="459.3662478"/>
    <n v="187.50950499999999"/>
    <n v="30.20307043"/>
    <x v="2"/>
    <x v="198"/>
    <x v="4"/>
  </r>
  <r>
    <n v="202"/>
    <x v="2"/>
    <x v="3"/>
    <n v="65.52561815"/>
    <n v="440.21916140000002"/>
    <n v="459.63982090000002"/>
    <n v="215.93983460000001"/>
    <n v="37.162930590000002"/>
    <x v="2"/>
    <x v="199"/>
    <x v="2"/>
  </r>
  <r>
    <n v="203"/>
    <x v="2"/>
    <x v="0"/>
    <n v="34.472729319999999"/>
    <n v="533.88146010000003"/>
    <n v="383.23647629999999"/>
    <n v="211.15456130000001"/>
    <n v="32.913404069999999"/>
    <x v="1"/>
    <x v="200"/>
    <x v="2"/>
  </r>
  <r>
    <n v="204"/>
    <x v="5"/>
    <x v="2"/>
    <n v="46.96464014"/>
    <n v="400.58199080000003"/>
    <n v="318.52999199999999"/>
    <n v="263.12449470000001"/>
    <n v="27.746604919999999"/>
    <x v="2"/>
    <x v="201"/>
    <x v="4"/>
  </r>
  <r>
    <n v="205"/>
    <x v="1"/>
    <x v="0"/>
    <n v="37.068546759999997"/>
    <n v="539.32692229999998"/>
    <n v="683.77114879999999"/>
    <n v="106.9024933"/>
    <n v="27.776654659999998"/>
    <x v="2"/>
    <x v="202"/>
    <x v="1"/>
  </r>
  <r>
    <n v="206"/>
    <x v="1"/>
    <x v="3"/>
    <n v="219.95130180000001"/>
    <n v="2565.1979019999999"/>
    <n v="376.19142870000002"/>
    <n v="205.61605829999999"/>
    <n v="27.20956825"/>
    <x v="2"/>
    <x v="203"/>
    <x v="1"/>
  </r>
  <r>
    <n v="207"/>
    <x v="1"/>
    <x v="2"/>
    <n v="51.696937920000003"/>
    <n v="532.57073579999997"/>
    <n v="668.13553569999999"/>
    <n v="257.30891300000002"/>
    <n v="33.160604739999997"/>
    <x v="2"/>
    <x v="204"/>
    <x v="1"/>
  </r>
  <r>
    <n v="208"/>
    <x v="1"/>
    <x v="2"/>
    <n v="42.99884127"/>
    <n v="463.04144710000003"/>
    <n v="376.85999520000001"/>
    <n v="195.10067770000001"/>
    <n v="26.886262200000001"/>
    <x v="2"/>
    <x v="205"/>
    <x v="1"/>
  </r>
  <r>
    <n v="209"/>
    <x v="1"/>
    <x v="2"/>
    <n v="60.896648650000003"/>
    <n v="370.18731150000002"/>
    <n v="543.02284680000002"/>
    <n v="152.43653029999999"/>
    <n v="27.875504549999999"/>
    <x v="0"/>
    <x v="206"/>
    <x v="1"/>
  </r>
  <r>
    <n v="210"/>
    <x v="5"/>
    <x v="2"/>
    <n v="65.339781209999998"/>
    <n v="657.8106808"/>
    <n v="343.46314080000002"/>
    <n v="169.8054942"/>
    <n v="35.290111940000003"/>
    <x v="1"/>
    <x v="207"/>
    <x v="4"/>
  </r>
  <r>
    <n v="211"/>
    <x v="5"/>
    <x v="2"/>
    <n v="27.50904272"/>
    <n v="382.9982349"/>
    <n v="480.48430000000002"/>
    <n v="180.35289990000001"/>
    <n v="30.958159810000001"/>
    <x v="1"/>
    <x v="208"/>
    <x v="4"/>
  </r>
  <r>
    <n v="212"/>
    <x v="3"/>
    <x v="1"/>
    <n v="43.170076700000003"/>
    <n v="584.85620340000003"/>
    <n v="440.9295171"/>
    <n v="163.94749849999999"/>
    <n v="35.992663139999998"/>
    <x v="2"/>
    <x v="209"/>
    <x v="3"/>
  </r>
  <r>
    <n v="213"/>
    <x v="4"/>
    <x v="4"/>
    <n v="50.591421220000001"/>
    <n v="563.85178610000003"/>
    <n v="442.4980607"/>
    <n v="192.35944409999999"/>
    <n v="33.990299370000002"/>
    <x v="1"/>
    <x v="210"/>
    <x v="4"/>
  </r>
  <r>
    <n v="214"/>
    <x v="0"/>
    <x v="1"/>
    <n v="61.26117026"/>
    <n v="476.32313970000001"/>
    <n v="553.20278040000005"/>
    <n v="275.4123702"/>
    <n v="24.11664085"/>
    <x v="0"/>
    <x v="211"/>
    <x v="0"/>
  </r>
  <r>
    <n v="215"/>
    <x v="1"/>
    <x v="4"/>
    <n v="45.457557250000001"/>
    <n v="473.7021196"/>
    <n v="423.70303619999999"/>
    <n v="170.1317617"/>
    <n v="29.489334710000001"/>
    <x v="0"/>
    <x v="212"/>
    <x v="1"/>
  </r>
  <r>
    <n v="216"/>
    <x v="2"/>
    <x v="2"/>
    <n v="49.800646049999997"/>
    <n v="316.42887259999998"/>
    <n v="308.62218050000001"/>
    <n v="175.6163013"/>
    <n v="34.949745200000002"/>
    <x v="0"/>
    <x v="213"/>
    <x v="2"/>
  </r>
  <r>
    <n v="217"/>
    <x v="0"/>
    <x v="2"/>
    <n v="38.432557750000001"/>
    <n v="533.00650010000004"/>
    <n v="571.35666760000004"/>
    <n v="222.9890292"/>
    <n v="23.889119669999999"/>
    <x v="0"/>
    <x v="214"/>
    <x v="0"/>
  </r>
  <r>
    <n v="218"/>
    <x v="5"/>
    <x v="4"/>
    <n v="34.672041479999997"/>
    <n v="561.9926332"/>
    <n v="342.49192920000002"/>
    <n v="191.25898179999999"/>
    <n v="32.098554100000001"/>
    <x v="2"/>
    <x v="215"/>
    <x v="4"/>
  </r>
  <r>
    <n v="219"/>
    <x v="2"/>
    <x v="3"/>
    <n v="64.453846900000002"/>
    <n v="391.09198839999999"/>
    <n v="480.48430000000002"/>
    <n v="133.5407433"/>
    <n v="29.803817630000001"/>
    <x v="1"/>
    <x v="216"/>
    <x v="2"/>
  </r>
  <r>
    <n v="220"/>
    <x v="2"/>
    <x v="3"/>
    <n v="31.759301260000001"/>
    <n v="484.4178526"/>
    <n v="596.75958539999999"/>
    <n v="196.94057810000001"/>
    <n v="21.226056289999999"/>
    <x v="1"/>
    <x v="217"/>
    <x v="2"/>
  </r>
  <r>
    <n v="221"/>
    <x v="2"/>
    <x v="0"/>
    <n v="73.286190079999997"/>
    <n v="503.78619149999997"/>
    <n v="434.94073359999999"/>
    <n v="199.07849999999999"/>
    <n v="30.598296520000002"/>
    <x v="2"/>
    <x v="218"/>
    <x v="2"/>
  </r>
  <r>
    <n v="222"/>
    <x v="3"/>
    <x v="4"/>
    <n v="57.251513989999999"/>
    <n v="558.45726279999997"/>
    <n v="480.48430000000002"/>
    <n v="248.78391730000001"/>
    <n v="25.812659920000002"/>
    <x v="1"/>
    <x v="219"/>
    <x v="3"/>
  </r>
  <r>
    <n v="223"/>
    <x v="5"/>
    <x v="2"/>
    <n v="80.664005270000004"/>
    <n v="500.38030759999998"/>
    <n v="537.8140449"/>
    <n v="151.3923801"/>
    <n v="24.16174109"/>
    <x v="2"/>
    <x v="220"/>
    <x v="4"/>
  </r>
  <r>
    <n v="224"/>
    <x v="2"/>
    <x v="1"/>
    <n v="55.754686669999998"/>
    <n v="337.36806460000003"/>
    <n v="396.49662960000001"/>
    <n v="249.11597409999999"/>
    <n v="30.045703379999999"/>
    <x v="2"/>
    <x v="221"/>
    <x v="2"/>
  </r>
  <r>
    <n v="225"/>
    <x v="1"/>
    <x v="2"/>
    <n v="47.473143120000003"/>
    <n v="447.0062231"/>
    <n v="648.17148029999998"/>
    <n v="195.10845939999999"/>
    <n v="20.345735300000001"/>
    <x v="0"/>
    <x v="222"/>
    <x v="1"/>
  </r>
  <r>
    <n v="226"/>
    <x v="2"/>
    <x v="0"/>
    <n v="53.920845300000003"/>
    <n v="522.46257849999995"/>
    <n v="342.9993814"/>
    <n v="144.60291649999999"/>
    <n v="26.628548540000001"/>
    <x v="0"/>
    <x v="223"/>
    <x v="2"/>
  </r>
  <r>
    <n v="227"/>
    <x v="2"/>
    <x v="3"/>
    <n v="48.111033120000002"/>
    <n v="584.15283420000003"/>
    <n v="434.79594839999999"/>
    <n v="134.5610844"/>
    <n v="42.755871259999999"/>
    <x v="1"/>
    <x v="224"/>
    <x v="2"/>
  </r>
  <r>
    <n v="228"/>
    <x v="3"/>
    <x v="1"/>
    <n v="55.530732759999999"/>
    <n v="438.23633910000001"/>
    <n v="455.24222359999999"/>
    <n v="296.71942639999997"/>
    <n v="33.251111969999997"/>
    <x v="1"/>
    <x v="225"/>
    <x v="3"/>
  </r>
  <r>
    <n v="229"/>
    <x v="0"/>
    <x v="1"/>
    <n v="49.663134730000003"/>
    <n v="718.76498749999996"/>
    <n v="552.62684409999997"/>
    <n v="192.00419890000001"/>
    <n v="25.592875469999999"/>
    <x v="0"/>
    <x v="226"/>
    <x v="0"/>
  </r>
  <r>
    <n v="230"/>
    <x v="5"/>
    <x v="2"/>
    <n v="40.496518170000002"/>
    <n v="310.5526931"/>
    <n v="613.85199569999997"/>
    <n v="246.82520579999999"/>
    <n v="37.0208297"/>
    <x v="2"/>
    <x v="227"/>
    <x v="4"/>
  </r>
  <r>
    <n v="231"/>
    <x v="3"/>
    <x v="4"/>
    <n v="41.294273840000002"/>
    <n v="443.62998249999998"/>
    <n v="606.33498680000002"/>
    <n v="114.5940303"/>
    <n v="25.039782200000001"/>
    <x v="1"/>
    <x v="228"/>
    <x v="3"/>
  </r>
  <r>
    <n v="232"/>
    <x v="2"/>
    <x v="3"/>
    <n v="40.157276250000002"/>
    <n v="491.69663969999999"/>
    <n v="506.84979829999997"/>
    <n v="331.88474439999999"/>
    <n v="27.231524230000002"/>
    <x v="1"/>
    <x v="229"/>
    <x v="2"/>
  </r>
  <r>
    <n v="233"/>
    <x v="5"/>
    <x v="2"/>
    <n v="59.709007319999998"/>
    <n v="479.92508359999999"/>
    <n v="446.36770749999999"/>
    <n v="244.6622314"/>
    <n v="24.255742949999998"/>
    <x v="0"/>
    <x v="230"/>
    <x v="4"/>
  </r>
  <r>
    <n v="234"/>
    <x v="2"/>
    <x v="1"/>
    <n v="43.825533880000002"/>
    <n v="376.78576700000002"/>
    <n v="260.881891"/>
    <n v="187.22798929999999"/>
    <n v="31.280399389999999"/>
    <x v="0"/>
    <x v="231"/>
    <x v="2"/>
  </r>
  <r>
    <n v="235"/>
    <x v="2"/>
    <x v="2"/>
    <n v="30.878968390000001"/>
    <n v="544.78617480000003"/>
    <n v="322.30249750000002"/>
    <n v="184.6917071"/>
    <n v="36.843148110000001"/>
    <x v="0"/>
    <x v="232"/>
    <x v="2"/>
  </r>
  <r>
    <n v="236"/>
    <x v="3"/>
    <x v="2"/>
    <n v="53.96838666"/>
    <n v="537.1094051"/>
    <n v="691.99865869999996"/>
    <n v="236.7299064"/>
    <n v="25.00496884"/>
    <x v="2"/>
    <x v="233"/>
    <x v="3"/>
  </r>
  <r>
    <n v="237"/>
    <x v="4"/>
    <x v="4"/>
    <n v="65.145175629999997"/>
    <n v="504.79614459999999"/>
    <n v="259.67136149999999"/>
    <n v="233.85908430000001"/>
    <n v="19.697784810000002"/>
    <x v="1"/>
    <x v="234"/>
    <x v="4"/>
  </r>
  <r>
    <n v="238"/>
    <x v="1"/>
    <x v="3"/>
    <n v="57.730831889999997"/>
    <n v="533.18438630000003"/>
    <n v="385.86112279999998"/>
    <n v="209.126464"/>
    <n v="35.454833370000003"/>
    <x v="1"/>
    <x v="235"/>
    <x v="1"/>
  </r>
  <r>
    <n v="239"/>
    <x v="0"/>
    <x v="4"/>
    <n v="43.966764349999998"/>
    <n v="457.62235889999999"/>
    <n v="617.35275379999996"/>
    <n v="200.5439379"/>
    <n v="37.76900251"/>
    <x v="2"/>
    <x v="236"/>
    <x v="0"/>
  </r>
  <r>
    <n v="240"/>
    <x v="3"/>
    <x v="1"/>
    <n v="34.131882840000003"/>
    <n v="338.26370500000002"/>
    <n v="505.16559590000003"/>
    <n v="228.0533542"/>
    <n v="20.024597669999999"/>
    <x v="2"/>
    <x v="237"/>
    <x v="3"/>
  </r>
  <r>
    <n v="241"/>
    <x v="5"/>
    <x v="2"/>
    <n v="48.657318969999999"/>
    <n v="428.33601299999998"/>
    <n v="591.36540849999994"/>
    <n v="112.9148223"/>
    <n v="32.300271709999997"/>
    <x v="0"/>
    <x v="238"/>
    <x v="4"/>
  </r>
  <r>
    <n v="242"/>
    <x v="2"/>
    <x v="2"/>
    <n v="48.407761219999998"/>
    <n v="515.70545809999999"/>
    <n v="545.13940219999995"/>
    <n v="181.4362644"/>
    <n v="31.132526760000001"/>
    <x v="1"/>
    <x v="239"/>
    <x v="2"/>
  </r>
  <r>
    <n v="243"/>
    <x v="1"/>
    <x v="2"/>
    <n v="36.926476190000002"/>
    <n v="516.27444149999997"/>
    <n v="656.34990449999998"/>
    <n v="117.65680709999999"/>
    <n v="26.062623479999999"/>
    <x v="2"/>
    <x v="240"/>
    <x v="1"/>
  </r>
  <r>
    <n v="244"/>
    <x v="2"/>
    <x v="1"/>
    <n v="55.510373020000003"/>
    <n v="504.1379053"/>
    <n v="480.48430000000002"/>
    <n v="230.22961720000001"/>
    <n v="23.028221670000001"/>
    <x v="2"/>
    <x v="241"/>
    <x v="2"/>
  </r>
  <r>
    <n v="245"/>
    <x v="5"/>
    <x v="1"/>
    <n v="68.466265010000001"/>
    <n v="554.87082680000003"/>
    <n v="559.61372749999998"/>
    <n v="166.20930139999999"/>
    <n v="34.958751730000003"/>
    <x v="2"/>
    <x v="242"/>
    <x v="4"/>
  </r>
  <r>
    <n v="246"/>
    <x v="2"/>
    <x v="4"/>
    <n v="52.222827170000002"/>
    <n v="441.88539550000002"/>
    <n v="393.09041619999999"/>
    <n v="121.4210961"/>
    <n v="30.89535266"/>
    <x v="2"/>
    <x v="243"/>
    <x v="2"/>
  </r>
  <r>
    <n v="247"/>
    <x v="4"/>
    <x v="0"/>
    <n v="51.60476207"/>
    <n v="502.66810570000001"/>
    <n v="550.35995709999997"/>
    <n v="160.31067379999999"/>
    <n v="31.272132289999998"/>
    <x v="1"/>
    <x v="244"/>
    <x v="4"/>
  </r>
  <r>
    <n v="248"/>
    <x v="1"/>
    <x v="4"/>
    <n v="40.627719509999999"/>
    <n v="557.2092778"/>
    <n v="432.46486820000001"/>
    <n v="207.46781010000001"/>
    <n v="26.891153240000001"/>
    <x v="1"/>
    <x v="245"/>
    <x v="1"/>
  </r>
  <r>
    <n v="249"/>
    <x v="1"/>
    <x v="3"/>
    <n v="63.974147029999997"/>
    <n v="491.5110181"/>
    <n v="425.62729580000001"/>
    <n v="189.73858089999999"/>
    <n v="25.990453980000002"/>
    <x v="2"/>
    <x v="246"/>
    <x v="1"/>
  </r>
  <r>
    <n v="250"/>
    <x v="5"/>
    <x v="2"/>
    <n v="49.248558330000002"/>
    <n v="375.66760720000002"/>
    <n v="587.36682180000003"/>
    <n v="141.34217200000001"/>
    <n v="17.725132290000001"/>
    <x v="2"/>
    <x v="247"/>
    <x v="4"/>
  </r>
  <r>
    <n v="251"/>
    <x v="0"/>
    <x v="2"/>
    <n v="44.21036745"/>
    <n v="403.85116299999999"/>
    <n v="588.19480510000005"/>
    <n v="114.7565699"/>
    <n v="28.859859849999999"/>
    <x v="1"/>
    <x v="248"/>
    <x v="0"/>
  </r>
  <r>
    <n v="252"/>
    <x v="4"/>
    <x v="0"/>
    <n v="50.636883939999997"/>
    <n v="583.0852324"/>
    <n v="682.61305870000001"/>
    <n v="203.69663940000001"/>
    <n v="37.194131900000002"/>
    <x v="1"/>
    <x v="249"/>
    <x v="4"/>
  </r>
  <r>
    <n v="253"/>
    <x v="3"/>
    <x v="2"/>
    <n v="54.719613330000001"/>
    <n v="639.24721629999999"/>
    <n v="674.79158229999996"/>
    <n v="170.96159470000001"/>
    <n v="25.548727899999999"/>
    <x v="0"/>
    <x v="250"/>
    <x v="3"/>
  </r>
  <r>
    <n v="254"/>
    <x v="2"/>
    <x v="0"/>
    <n v="51.392154089999998"/>
    <n v="617.52831079999999"/>
    <n v="590.07781939999995"/>
    <n v="187.09596450000001"/>
    <n v="22.387926530000001"/>
    <x v="0"/>
    <x v="251"/>
    <x v="2"/>
  </r>
  <r>
    <n v="255"/>
    <x v="2"/>
    <x v="4"/>
    <n v="62.061533959999998"/>
    <n v="523.21559500000001"/>
    <n v="273.54652679999998"/>
    <n v="192.01574059999999"/>
    <n v="32.178322829999999"/>
    <x v="1"/>
    <x v="252"/>
    <x v="2"/>
  </r>
  <r>
    <n v="256"/>
    <x v="2"/>
    <x v="1"/>
    <n v="53.839715529999999"/>
    <n v="379.6867398"/>
    <n v="699.32171800000003"/>
    <n v="221.50328440000001"/>
    <n v="33.10039999"/>
    <x v="2"/>
    <x v="253"/>
    <x v="2"/>
  </r>
  <r>
    <n v="257"/>
    <x v="0"/>
    <x v="2"/>
    <n v="47.160581890000003"/>
    <n v="499.36484430000002"/>
    <n v="590.15612050000004"/>
    <n v="242.34732510000001"/>
    <n v="27.070470199999999"/>
    <x v="2"/>
    <x v="254"/>
    <x v="0"/>
  </r>
  <r>
    <n v="258"/>
    <x v="3"/>
    <x v="4"/>
    <n v="54.011922159999997"/>
    <n v="656.22551320000002"/>
    <n v="388.09678919999999"/>
    <n v="207.32545999999999"/>
    <n v="28.25617768"/>
    <x v="1"/>
    <x v="255"/>
    <x v="3"/>
  </r>
  <r>
    <n v="259"/>
    <x v="2"/>
    <x v="2"/>
    <n v="54.996371009999997"/>
    <n v="561.848838"/>
    <n v="567.46909870000002"/>
    <n v="183.97687250000001"/>
    <n v="31.319515590000002"/>
    <x v="1"/>
    <x v="256"/>
    <x v="2"/>
  </r>
  <r>
    <n v="260"/>
    <x v="4"/>
    <x v="2"/>
    <n v="37.036240810000002"/>
    <n v="479.2522477"/>
    <n v="355.52811109999999"/>
    <n v="201.23817690000001"/>
    <n v="29.222252659999999"/>
    <x v="0"/>
    <x v="257"/>
    <x v="4"/>
  </r>
  <r>
    <n v="261"/>
    <x v="4"/>
    <x v="2"/>
    <n v="61.494197280000002"/>
    <n v="562.86252330000002"/>
    <n v="554.23561440000003"/>
    <n v="183.03815159999999"/>
    <n v="35.000646680000003"/>
    <x v="1"/>
    <x v="258"/>
    <x v="4"/>
  </r>
  <r>
    <n v="262"/>
    <x v="1"/>
    <x v="2"/>
    <n v="46.99095981"/>
    <n v="373.0604793"/>
    <n v="322.04759510000002"/>
    <n v="117.8723323"/>
    <n v="42.186212879999999"/>
    <x v="2"/>
    <x v="259"/>
    <x v="1"/>
  </r>
  <r>
    <n v="263"/>
    <x v="5"/>
    <x v="2"/>
    <n v="47.246767759999997"/>
    <n v="430.43286219999999"/>
    <n v="383.0137909"/>
    <n v="254.59730859999999"/>
    <n v="21.45418222"/>
    <x v="1"/>
    <x v="260"/>
    <x v="4"/>
  </r>
  <r>
    <n v="264"/>
    <x v="0"/>
    <x v="0"/>
    <n v="57.513759870000001"/>
    <n v="391.5808609"/>
    <n v="565.19149549999997"/>
    <n v="245.17194309999999"/>
    <n v="36.148775649999997"/>
    <x v="2"/>
    <x v="261"/>
    <x v="0"/>
  </r>
  <r>
    <n v="265"/>
    <x v="2"/>
    <x v="4"/>
    <n v="57.471652239999997"/>
    <n v="546.95718179999994"/>
    <n v="608.74640920000002"/>
    <n v="299.41669969999998"/>
    <n v="30.52629851"/>
    <x v="1"/>
    <x v="262"/>
    <x v="2"/>
  </r>
  <r>
    <n v="266"/>
    <x v="2"/>
    <x v="2"/>
    <n v="42.991683209999998"/>
    <n v="571.41034999999999"/>
    <n v="519.05242310000006"/>
    <n v="314.02496530000002"/>
    <n v="36.94100469"/>
    <x v="2"/>
    <x v="263"/>
    <x v="2"/>
  </r>
  <r>
    <n v="267"/>
    <x v="2"/>
    <x v="1"/>
    <n v="58.029016179999999"/>
    <n v="484.61739729999999"/>
    <n v="445.65976360000002"/>
    <n v="141.19899340000001"/>
    <n v="33.621772559999997"/>
    <x v="1"/>
    <x v="264"/>
    <x v="2"/>
  </r>
  <r>
    <n v="268"/>
    <x v="3"/>
    <x v="1"/>
    <n v="221.97759239999999"/>
    <n v="1650.828129"/>
    <n v="226.2160446"/>
    <n v="183.23000400000001"/>
    <n v="30.305782300000001"/>
    <x v="1"/>
    <x v="265"/>
    <x v="3"/>
  </r>
  <r>
    <n v="269"/>
    <x v="5"/>
    <x v="4"/>
    <n v="68.195730470000001"/>
    <n v="498.0250906"/>
    <n v="454.91746799999999"/>
    <n v="325.5769798"/>
    <n v="33.800114710000003"/>
    <x v="0"/>
    <x v="266"/>
    <x v="4"/>
  </r>
  <r>
    <n v="270"/>
    <x v="4"/>
    <x v="4"/>
    <n v="41.718060190000003"/>
    <n v="451.34201089999999"/>
    <n v="544.0182092"/>
    <n v="197.97246920000001"/>
    <n v="28.029221140000001"/>
    <x v="1"/>
    <x v="267"/>
    <x v="4"/>
  </r>
  <r>
    <n v="271"/>
    <x v="2"/>
    <x v="1"/>
    <n v="52.39477462"/>
    <n v="420.38292949999999"/>
    <n v="441.98818729999999"/>
    <n v="212.21054509999999"/>
    <n v="26.12849289"/>
    <x v="1"/>
    <x v="268"/>
    <x v="2"/>
  </r>
  <r>
    <n v="272"/>
    <x v="1"/>
    <x v="1"/>
    <n v="42.179823630000001"/>
    <n v="533.89936850000004"/>
    <n v="477.2906471"/>
    <n v="123.9435024"/>
    <n v="34.054315580000001"/>
    <x v="2"/>
    <x v="269"/>
    <x v="1"/>
  </r>
  <r>
    <n v="273"/>
    <x v="4"/>
    <x v="0"/>
    <n v="72.226956290000004"/>
    <n v="424.2007777"/>
    <n v="457.72590380000003"/>
    <n v="207.51443159999999"/>
    <n v="25.778357759999999"/>
    <x v="1"/>
    <x v="270"/>
    <x v="4"/>
  </r>
  <r>
    <n v="274"/>
    <x v="5"/>
    <x v="3"/>
    <n v="37.621790560000001"/>
    <n v="343.36502669999999"/>
    <n v="441.3952539"/>
    <n v="296.59701869999998"/>
    <n v="33.211862959999998"/>
    <x v="2"/>
    <x v="271"/>
    <x v="4"/>
  </r>
  <r>
    <n v="275"/>
    <x v="0"/>
    <x v="2"/>
    <n v="55.24362747"/>
    <n v="365.58855299999999"/>
    <n v="489.10528679999999"/>
    <n v="264.33129050000002"/>
    <n v="30.153737920000001"/>
    <x v="1"/>
    <x v="272"/>
    <x v="0"/>
  </r>
  <r>
    <n v="276"/>
    <x v="1"/>
    <x v="2"/>
    <n v="42.650895859999999"/>
    <n v="339.67395329999999"/>
    <n v="447.27665009999998"/>
    <n v="169.5007689"/>
    <n v="18.352791740000001"/>
    <x v="2"/>
    <x v="273"/>
    <x v="1"/>
  </r>
  <r>
    <n v="277"/>
    <x v="0"/>
    <x v="3"/>
    <n v="46.458923589999998"/>
    <n v="524.75119170000005"/>
    <n v="653.19474639999999"/>
    <n v="180.18418170000001"/>
    <n v="27.128087749999999"/>
    <x v="1"/>
    <x v="274"/>
    <x v="0"/>
  </r>
  <r>
    <n v="278"/>
    <x v="3"/>
    <x v="4"/>
    <n v="54.535378340000001"/>
    <n v="515.04054380000002"/>
    <n v="215.22973820000001"/>
    <n v="143.4549854"/>
    <n v="31.674190979999999"/>
    <x v="2"/>
    <x v="275"/>
    <x v="3"/>
  </r>
  <r>
    <n v="279"/>
    <x v="3"/>
    <x v="1"/>
    <n v="62.245844380000001"/>
    <n v="510.0520095"/>
    <n v="414.49888970000001"/>
    <n v="157.44184300000001"/>
    <n v="27.969996680000001"/>
    <x v="0"/>
    <x v="276"/>
    <x v="3"/>
  </r>
  <r>
    <n v="280"/>
    <x v="2"/>
    <x v="3"/>
    <n v="66.233965620000006"/>
    <n v="558.77316519999999"/>
    <n v="375.56925319999999"/>
    <n v="104.4894036"/>
    <n v="17.266339439999999"/>
    <x v="2"/>
    <x v="277"/>
    <x v="2"/>
  </r>
  <r>
    <n v="281"/>
    <x v="0"/>
    <x v="2"/>
    <n v="34.630520400000002"/>
    <n v="619.1958856"/>
    <n v="506.293272"/>
    <n v="195.75901630000001"/>
    <n v="36.603750640000001"/>
    <x v="1"/>
    <x v="278"/>
    <x v="0"/>
  </r>
  <r>
    <n v="282"/>
    <x v="5"/>
    <x v="4"/>
    <n v="52.677512239999999"/>
    <n v="440.77334689999998"/>
    <n v="489.25737429999998"/>
    <n v="275.50553400000001"/>
    <n v="30.846875260000001"/>
    <x v="0"/>
    <x v="279"/>
    <x v="4"/>
  </r>
  <r>
    <n v="283"/>
    <x v="2"/>
    <x v="2"/>
    <n v="64.59493603"/>
    <n v="540.64774769999997"/>
    <n v="674.66317219999996"/>
    <n v="217.7715962"/>
    <n v="32.218696459999997"/>
    <x v="2"/>
    <x v="280"/>
    <x v="2"/>
  </r>
  <r>
    <n v="284"/>
    <x v="1"/>
    <x v="2"/>
    <n v="33.14689061"/>
    <n v="342.03844930000002"/>
    <n v="714.13704580000001"/>
    <n v="268.31194950000003"/>
    <n v="27.633619240000002"/>
    <x v="0"/>
    <x v="281"/>
    <x v="1"/>
  </r>
  <r>
    <n v="285"/>
    <x v="4"/>
    <x v="2"/>
    <n v="53.143834939999998"/>
    <n v="637.87097459999995"/>
    <n v="387.22998530000001"/>
    <n v="253.66247000000001"/>
    <n v="32.657448440000003"/>
    <x v="1"/>
    <x v="282"/>
    <x v="4"/>
  </r>
  <r>
    <n v="286"/>
    <x v="5"/>
    <x v="2"/>
    <n v="49.979162029999998"/>
    <n v="375.51687620000001"/>
    <n v="480.06000779999999"/>
    <n v="172.65959549999999"/>
    <n v="39.174100719999998"/>
    <x v="1"/>
    <x v="283"/>
    <x v="4"/>
  </r>
  <r>
    <n v="287"/>
    <x v="5"/>
    <x v="1"/>
    <n v="54.145418139999997"/>
    <n v="428.99188809999998"/>
    <n v="503.55653000000001"/>
    <n v="162.0246669"/>
    <n v="26.32463508"/>
    <x v="1"/>
    <x v="284"/>
    <x v="4"/>
  </r>
  <r>
    <n v="288"/>
    <x v="3"/>
    <x v="2"/>
    <n v="42.276959750000003"/>
    <n v="440.2290486"/>
    <n v="480.48430000000002"/>
    <n v="163.9407722"/>
    <n v="38.335063529999999"/>
    <x v="0"/>
    <x v="285"/>
    <x v="3"/>
  </r>
  <r>
    <n v="289"/>
    <x v="0"/>
    <x v="4"/>
    <n v="35.643811720000002"/>
    <n v="347.37290030000003"/>
    <n v="555.40584430000001"/>
    <n v="114.1469026"/>
    <n v="31.992820330000001"/>
    <x v="2"/>
    <x v="286"/>
    <x v="0"/>
  </r>
  <r>
    <n v="290"/>
    <x v="2"/>
    <x v="3"/>
    <n v="30.868935749999999"/>
    <n v="503.25755770000001"/>
    <n v="451.2591157"/>
    <n v="201.6165116"/>
    <n v="25.652836260000001"/>
    <x v="1"/>
    <x v="287"/>
    <x v="2"/>
  </r>
  <r>
    <n v="291"/>
    <x v="2"/>
    <x v="4"/>
    <n v="59.763839529999998"/>
    <n v="521.39038679999999"/>
    <n v="351.8838179"/>
    <n v="54.776780170000002"/>
    <n v="41.061953189999997"/>
    <x v="0"/>
    <x v="288"/>
    <x v="2"/>
  </r>
  <r>
    <n v="292"/>
    <x v="1"/>
    <x v="0"/>
    <n v="61.040491359999997"/>
    <n v="481.05863290000002"/>
    <n v="446.45180349999998"/>
    <n v="229.5707755"/>
    <n v="31.958201200000001"/>
    <x v="2"/>
    <x v="289"/>
    <x v="1"/>
  </r>
  <r>
    <n v="293"/>
    <x v="3"/>
    <x v="0"/>
    <n v="53.026853490000001"/>
    <n v="345.9752368"/>
    <n v="360.27905129999999"/>
    <n v="203.5940468"/>
    <n v="33.38239334"/>
    <x v="2"/>
    <x v="290"/>
    <x v="3"/>
  </r>
  <r>
    <n v="294"/>
    <x v="5"/>
    <x v="2"/>
    <n v="223.29258250000001"/>
    <n v="2793.3544940000002"/>
    <n v="604.39761950000002"/>
    <n v="223.5719933"/>
    <n v="28.65323948"/>
    <x v="1"/>
    <x v="291"/>
    <x v="4"/>
  </r>
  <r>
    <n v="295"/>
    <x v="2"/>
    <x v="1"/>
    <n v="33.769541070000002"/>
    <n v="554.92307970000002"/>
    <n v="708.18711059999998"/>
    <n v="252.85081410000001"/>
    <n v="26.01836677"/>
    <x v="2"/>
    <x v="292"/>
    <x v="2"/>
  </r>
  <r>
    <n v="296"/>
    <x v="3"/>
    <x v="0"/>
    <n v="55.633454630000003"/>
    <n v="763.42220440000006"/>
    <n v="509.3783249"/>
    <n v="209.9397294"/>
    <n v="30.839066219999999"/>
    <x v="2"/>
    <x v="293"/>
    <x v="3"/>
  </r>
  <r>
    <n v="297"/>
    <x v="1"/>
    <x v="2"/>
    <n v="38.99220717"/>
    <n v="419.48907600000001"/>
    <n v="493.35321219999997"/>
    <n v="281.5785869"/>
    <n v="37.907318619999998"/>
    <x v="0"/>
    <x v="294"/>
    <x v="1"/>
  </r>
  <r>
    <n v="298"/>
    <x v="1"/>
    <x v="4"/>
    <n v="42.887013750000001"/>
    <n v="595.78822279999997"/>
    <n v="498.29217199999999"/>
    <n v="231.09729050000001"/>
    <n v="28.451700939999998"/>
    <x v="0"/>
    <x v="295"/>
    <x v="1"/>
  </r>
  <r>
    <n v="299"/>
    <x v="3"/>
    <x v="4"/>
    <n v="44.134359199999999"/>
    <n v="577.92738870000005"/>
    <n v="621.86808350000001"/>
    <n v="162.14365770000001"/>
    <n v="29.866243770000001"/>
    <x v="2"/>
    <x v="296"/>
    <x v="3"/>
  </r>
  <r>
    <n v="300"/>
    <x v="1"/>
    <x v="2"/>
    <n v="48.024647739999999"/>
    <n v="470.94248970000001"/>
    <n v="619.28388040000004"/>
    <n v="188.11444789999999"/>
    <n v="37.281642359999999"/>
    <x v="0"/>
    <x v="297"/>
    <x v="1"/>
  </r>
  <r>
    <n v="301"/>
    <x v="3"/>
    <x v="3"/>
    <n v="42.409595529999997"/>
    <n v="503.25760000000002"/>
    <n v="466.12157180000003"/>
    <n v="86.935448660000006"/>
    <n v="28.498365769999999"/>
    <x v="0"/>
    <x v="298"/>
    <x v="3"/>
  </r>
  <r>
    <n v="302"/>
    <x v="4"/>
    <x v="2"/>
    <n v="150.9936008"/>
    <n v="459.45899919999999"/>
    <n v="510.31079130000001"/>
    <n v="154.890478"/>
    <n v="32.551381560000003"/>
    <x v="1"/>
    <x v="299"/>
    <x v="4"/>
  </r>
  <r>
    <n v="303"/>
    <x v="3"/>
    <x v="3"/>
    <n v="43.781816990000003"/>
    <n v="463.91085809999998"/>
    <n v="558.31756889999997"/>
    <n v="180.95017970000001"/>
    <n v="34.386752530000003"/>
    <x v="2"/>
    <x v="300"/>
    <x v="3"/>
  </r>
  <r>
    <n v="304"/>
    <x v="0"/>
    <x v="2"/>
    <n v="57.013730649999999"/>
    <n v="152.85701080000001"/>
    <n v="343.4775052"/>
    <n v="227.3136805"/>
    <n v="29.01609526"/>
    <x v="1"/>
    <x v="301"/>
    <x v="0"/>
  </r>
  <r>
    <n v="305"/>
    <x v="3"/>
    <x v="2"/>
    <n v="60.310629140000003"/>
    <n v="540.90280540000003"/>
    <n v="625.51298850000001"/>
    <n v="162.48194860000001"/>
    <n v="29.664100000000001"/>
    <x v="2"/>
    <x v="302"/>
    <x v="3"/>
  </r>
  <r>
    <n v="306"/>
    <x v="1"/>
    <x v="2"/>
    <n v="51.085426759999997"/>
    <n v="367.4490088"/>
    <n v="688.17982689999997"/>
    <n v="137.68679929999999"/>
    <n v="33.30551389"/>
    <x v="0"/>
    <x v="303"/>
    <x v="1"/>
  </r>
  <r>
    <n v="307"/>
    <x v="0"/>
    <x v="3"/>
    <n v="54.626263350000002"/>
    <n v="444.92788039999999"/>
    <n v="619.80385260000003"/>
    <n v="105.6234048"/>
    <n v="27.995424029999999"/>
    <x v="2"/>
    <x v="304"/>
    <x v="0"/>
  </r>
  <r>
    <n v="308"/>
    <x v="1"/>
    <x v="3"/>
    <n v="71.178559500000006"/>
    <n v="397.37803609999997"/>
    <n v="330.52873060000002"/>
    <n v="170.1791241"/>
    <n v="34.078825819999999"/>
    <x v="0"/>
    <x v="305"/>
    <x v="1"/>
  </r>
  <r>
    <n v="309"/>
    <x v="2"/>
    <x v="2"/>
    <n v="38.273967429999999"/>
    <n v="463.37684610000002"/>
    <n v="243.5999453"/>
    <n v="297.54259009999998"/>
    <n v="27.265069579999999"/>
    <x v="0"/>
    <x v="306"/>
    <x v="2"/>
  </r>
  <r>
    <n v="310"/>
    <x v="2"/>
    <x v="0"/>
    <n v="37.665318990000003"/>
    <n v="544.38802299999998"/>
    <n v="565.04624079999996"/>
    <n v="213.55535169999999"/>
    <n v="26.624562109999999"/>
    <x v="1"/>
    <x v="307"/>
    <x v="2"/>
  </r>
  <r>
    <n v="311"/>
    <x v="0"/>
    <x v="1"/>
    <n v="56.94997901"/>
    <n v="501.11415629999999"/>
    <n v="388.77726610000002"/>
    <n v="246.9789706"/>
    <n v="22.364794700000001"/>
    <x v="1"/>
    <x v="308"/>
    <x v="0"/>
  </r>
  <r>
    <n v="312"/>
    <x v="4"/>
    <x v="1"/>
    <n v="69.465428380000006"/>
    <n v="570.96412910000004"/>
    <n v="514.45600249999995"/>
    <n v="154.9972884"/>
    <n v="27.482688280000001"/>
    <x v="1"/>
    <x v="309"/>
    <x v="4"/>
  </r>
  <r>
    <n v="313"/>
    <x v="2"/>
    <x v="1"/>
    <n v="47.395014379999999"/>
    <n v="626.56295360000001"/>
    <n v="664.21784639999998"/>
    <n v="121.327512"/>
    <n v="25.922486490000001"/>
    <x v="2"/>
    <x v="310"/>
    <x v="2"/>
  </r>
  <r>
    <n v="314"/>
    <x v="3"/>
    <x v="3"/>
    <n v="67.268338420000006"/>
    <n v="463.12040630000001"/>
    <n v="401.16537879999998"/>
    <n v="138.9461268"/>
    <n v="27.995630219999999"/>
    <x v="1"/>
    <x v="311"/>
    <x v="3"/>
  </r>
  <r>
    <n v="315"/>
    <x v="1"/>
    <x v="3"/>
    <n v="50.964337190000002"/>
    <n v="452.14327580000003"/>
    <n v="434.6934412"/>
    <n v="199.07849999999999"/>
    <n v="33.059963160000002"/>
    <x v="1"/>
    <x v="312"/>
    <x v="1"/>
  </r>
  <r>
    <n v="316"/>
    <x v="2"/>
    <x v="0"/>
    <n v="43.191127180000002"/>
    <n v="595.77276540000003"/>
    <n v="513.20675670000003"/>
    <n v="100.2935578"/>
    <n v="21.371628730000001"/>
    <x v="2"/>
    <x v="313"/>
    <x v="2"/>
  </r>
  <r>
    <n v="317"/>
    <x v="0"/>
    <x v="1"/>
    <n v="40.093076109999998"/>
    <n v="603.70472889999996"/>
    <n v="480.48430000000002"/>
    <n v="149.67047919999999"/>
    <n v="20.126645530000001"/>
    <x v="0"/>
    <x v="314"/>
    <x v="0"/>
  </r>
  <r>
    <n v="318"/>
    <x v="4"/>
    <x v="1"/>
    <n v="56.294135850000004"/>
    <n v="574.05908680000005"/>
    <n v="389.05725649999999"/>
    <n v="170.68196570000001"/>
    <n v="26.254603920000001"/>
    <x v="0"/>
    <x v="315"/>
    <x v="4"/>
  </r>
  <r>
    <n v="319"/>
    <x v="0"/>
    <x v="2"/>
    <n v="40.850409319999997"/>
    <n v="404.78211929999998"/>
    <n v="482.98290050000003"/>
    <n v="133.95373470000001"/>
    <n v="32.306152470000001"/>
    <x v="0"/>
    <x v="316"/>
    <x v="0"/>
  </r>
  <r>
    <n v="320"/>
    <x v="0"/>
    <x v="3"/>
    <n v="50.812768429999998"/>
    <n v="542.26550659999998"/>
    <n v="443.94541570000001"/>
    <n v="93.815849130000004"/>
    <n v="31.444324739999999"/>
    <x v="2"/>
    <x v="317"/>
    <x v="0"/>
  </r>
  <r>
    <n v="321"/>
    <x v="5"/>
    <x v="1"/>
    <n v="65.834650249999996"/>
    <n v="510.9470604"/>
    <n v="553.00893050000002"/>
    <n v="214.48268490000001"/>
    <n v="26.174688339999999"/>
    <x v="2"/>
    <x v="318"/>
    <x v="4"/>
  </r>
  <r>
    <n v="322"/>
    <x v="4"/>
    <x v="4"/>
    <n v="46.932196070000003"/>
    <n v="605.25289410000005"/>
    <n v="811.91755369999998"/>
    <n v="202.2935722"/>
    <n v="35.847041160000003"/>
    <x v="2"/>
    <x v="319"/>
    <x v="4"/>
  </r>
  <r>
    <n v="323"/>
    <x v="3"/>
    <x v="0"/>
    <n v="119.4566502"/>
    <n v="442.71279099999998"/>
    <n v="491.89660070000002"/>
    <n v="238.9514934"/>
    <n v="26.707950319999998"/>
    <x v="0"/>
    <x v="320"/>
    <x v="3"/>
  </r>
  <r>
    <n v="324"/>
    <x v="0"/>
    <x v="4"/>
    <n v="37.854565100000002"/>
    <n v="503.25760000000002"/>
    <n v="378.99456650000002"/>
    <n v="144.4787125"/>
    <n v="32.312269929999999"/>
    <x v="0"/>
    <x v="321"/>
    <x v="0"/>
  </r>
  <r>
    <n v="325"/>
    <x v="1"/>
    <x v="4"/>
    <n v="44.660908990000003"/>
    <n v="569.02368000000001"/>
    <n v="650.18884260000004"/>
    <n v="237.99613719999999"/>
    <n v="28.18606836"/>
    <x v="2"/>
    <x v="322"/>
    <x v="1"/>
  </r>
  <r>
    <n v="326"/>
    <x v="4"/>
    <x v="0"/>
    <n v="35.928559739999997"/>
    <n v="244.16316169999999"/>
    <n v="289.34178300000002"/>
    <n v="276.4652097"/>
    <n v="25.656118249999999"/>
    <x v="1"/>
    <x v="323"/>
    <x v="4"/>
  </r>
  <r>
    <n v="327"/>
    <x v="2"/>
    <x v="4"/>
    <n v="50.729967559999999"/>
    <n v="426.84865960000002"/>
    <n v="313.33101950000002"/>
    <n v="213.1107366"/>
    <n v="26.974666060000001"/>
    <x v="1"/>
    <x v="324"/>
    <x v="2"/>
  </r>
  <r>
    <n v="328"/>
    <x v="1"/>
    <x v="1"/>
    <n v="57.800781800000003"/>
    <n v="397.68044889999999"/>
    <n v="408.58758740000002"/>
    <n v="169.50318530000001"/>
    <n v="33.670001919999997"/>
    <x v="2"/>
    <x v="325"/>
    <x v="1"/>
  </r>
  <r>
    <n v="329"/>
    <x v="1"/>
    <x v="3"/>
    <n v="50.751870879999998"/>
    <n v="397.00653290000002"/>
    <n v="446.05359349999998"/>
    <n v="207.25403249999999"/>
    <n v="31.80512573"/>
    <x v="2"/>
    <x v="326"/>
    <x v="1"/>
  </r>
  <r>
    <n v="330"/>
    <x v="2"/>
    <x v="0"/>
    <n v="62.270500599999998"/>
    <n v="425.09685289999999"/>
    <n v="405.71127159999998"/>
    <n v="167.11063050000001"/>
    <n v="34.840513319999999"/>
    <x v="1"/>
    <x v="327"/>
    <x v="2"/>
  </r>
  <r>
    <n v="331"/>
    <x v="4"/>
    <x v="2"/>
    <n v="42.508207589999998"/>
    <n v="621.73735699999997"/>
    <n v="476.21852109999998"/>
    <n v="158.78582209999999"/>
    <n v="31.804930410000001"/>
    <x v="2"/>
    <x v="328"/>
    <x v="4"/>
  </r>
  <r>
    <n v="332"/>
    <x v="2"/>
    <x v="4"/>
    <n v="52.253427539999997"/>
    <n v="582.05554189999998"/>
    <n v="512.96902829999999"/>
    <n v="234.16301949999999"/>
    <n v="21.944152679999998"/>
    <x v="2"/>
    <x v="329"/>
    <x v="2"/>
  </r>
  <r>
    <n v="333"/>
    <x v="5"/>
    <x v="0"/>
    <n v="44.725306760000002"/>
    <n v="503.25760000000002"/>
    <n v="608.2751442"/>
    <n v="193.047484"/>
    <n v="40.57207417"/>
    <x v="1"/>
    <x v="330"/>
    <x v="4"/>
  </r>
  <r>
    <n v="334"/>
    <x v="1"/>
    <x v="2"/>
    <n v="53.61676585"/>
    <n v="613.36234720000004"/>
    <n v="490.94259290000002"/>
    <n v="260.25478270000002"/>
    <n v="31.87584507"/>
    <x v="2"/>
    <x v="331"/>
    <x v="1"/>
  </r>
  <r>
    <n v="335"/>
    <x v="2"/>
    <x v="2"/>
    <n v="55.037360460000002"/>
    <n v="393.7702845"/>
    <n v="412.56645029999999"/>
    <n v="177.8788505"/>
    <n v="32.573357770000001"/>
    <x v="1"/>
    <x v="332"/>
    <x v="2"/>
  </r>
  <r>
    <n v="336"/>
    <x v="2"/>
    <x v="3"/>
    <n v="55.823959600000002"/>
    <n v="380.1716614"/>
    <n v="601.75744640000005"/>
    <n v="182.941271"/>
    <n v="28.115811600000001"/>
    <x v="2"/>
    <x v="333"/>
    <x v="2"/>
  </r>
  <r>
    <n v="337"/>
    <x v="3"/>
    <x v="1"/>
    <n v="39.294056619999999"/>
    <n v="586.35966589999998"/>
    <n v="381.87414289999998"/>
    <n v="171.6744502"/>
    <n v="35.565891469999997"/>
    <x v="0"/>
    <x v="334"/>
    <x v="3"/>
  </r>
  <r>
    <n v="338"/>
    <x v="0"/>
    <x v="3"/>
    <n v="41.102538979999999"/>
    <n v="557.96432289999996"/>
    <n v="284.0876705"/>
    <n v="143.99082809999999"/>
    <n v="24.5344622"/>
    <x v="2"/>
    <x v="335"/>
    <x v="0"/>
  </r>
  <r>
    <n v="339"/>
    <x v="2"/>
    <x v="3"/>
    <n v="50.539879999999997"/>
    <n v="503.25760000000002"/>
    <n v="624.71472210000002"/>
    <n v="240.72124489999999"/>
    <n v="33.04914539"/>
    <x v="1"/>
    <x v="336"/>
    <x v="2"/>
  </r>
  <r>
    <n v="340"/>
    <x v="2"/>
    <x v="3"/>
    <n v="47.611192520000003"/>
    <n v="386.45391059999997"/>
    <n v="617.02238939999995"/>
    <n v="309.28558320000002"/>
    <n v="19.601833589999998"/>
    <x v="0"/>
    <x v="337"/>
    <x v="2"/>
  </r>
  <r>
    <n v="342"/>
    <x v="3"/>
    <x v="2"/>
    <n v="57.080891219999998"/>
    <n v="327.98974490000001"/>
    <n v="432.1081375"/>
    <n v="165.97520280000001"/>
    <n v="24.602247940000002"/>
    <x v="0"/>
    <x v="338"/>
    <x v="3"/>
  </r>
  <r>
    <n v="343"/>
    <x v="3"/>
    <x v="2"/>
    <n v="41.519013010000002"/>
    <n v="440.15740649999998"/>
    <n v="369.96869459999999"/>
    <n v="162.73382580000001"/>
    <n v="31.384972600000001"/>
    <x v="0"/>
    <x v="339"/>
    <x v="3"/>
  </r>
  <r>
    <n v="344"/>
    <x v="1"/>
    <x v="0"/>
    <n v="33.989807020000001"/>
    <n v="522.85765279999998"/>
    <n v="519.19490610000003"/>
    <n v="166.0133386"/>
    <n v="36.786702329999997"/>
    <x v="1"/>
    <x v="340"/>
    <x v="1"/>
  </r>
  <r>
    <n v="345"/>
    <x v="5"/>
    <x v="2"/>
    <n v="71.557431629999996"/>
    <n v="680.2164808"/>
    <n v="687.84591499999999"/>
    <n v="282.48918429999998"/>
    <n v="29.664100000000001"/>
    <x v="1"/>
    <x v="341"/>
    <x v="4"/>
  </r>
  <r>
    <n v="346"/>
    <x v="2"/>
    <x v="3"/>
    <n v="38.685469789999999"/>
    <n v="538.31002120000005"/>
    <n v="564.34581579999997"/>
    <n v="164.075974"/>
    <n v="36.121908349999998"/>
    <x v="1"/>
    <x v="342"/>
    <x v="2"/>
  </r>
  <r>
    <n v="347"/>
    <x v="1"/>
    <x v="0"/>
    <n v="58.363237230000003"/>
    <n v="548.03046529999995"/>
    <n v="604.2869571"/>
    <n v="170.73666"/>
    <n v="35.604242220000003"/>
    <x v="1"/>
    <x v="343"/>
    <x v="1"/>
  </r>
  <r>
    <n v="348"/>
    <x v="3"/>
    <x v="2"/>
    <n v="50.312668770000002"/>
    <n v="443.06162999999998"/>
    <n v="578.36739980000004"/>
    <n v="137.98228739999999"/>
    <n v="27.378586290000001"/>
    <x v="2"/>
    <x v="344"/>
    <x v="3"/>
  </r>
  <r>
    <n v="349"/>
    <x v="2"/>
    <x v="4"/>
    <n v="52.513056409999997"/>
    <n v="556.84802249999996"/>
    <n v="479.98570219999999"/>
    <n v="214.68243870000001"/>
    <n v="32.991650870000001"/>
    <x v="2"/>
    <x v="345"/>
    <x v="2"/>
  </r>
  <r>
    <n v="350"/>
    <x v="1"/>
    <x v="1"/>
    <n v="49.984494939999998"/>
    <n v="510.53093209999997"/>
    <n v="610.00085249999995"/>
    <n v="196.6385219"/>
    <n v="21.375415520000001"/>
    <x v="1"/>
    <x v="346"/>
    <x v="1"/>
  </r>
  <r>
    <n v="351"/>
    <x v="5"/>
    <x v="2"/>
    <n v="46.151581180000001"/>
    <n v="341.15354600000001"/>
    <n v="569.40366749999998"/>
    <n v="143.1410612"/>
    <n v="26.565317910000001"/>
    <x v="2"/>
    <x v="347"/>
    <x v="4"/>
  </r>
  <r>
    <n v="352"/>
    <x v="1"/>
    <x v="4"/>
    <n v="54.639722829999997"/>
    <n v="579.29348530000004"/>
    <n v="652.73348580000004"/>
    <n v="155.35852009999999"/>
    <n v="36.963274439999999"/>
    <x v="2"/>
    <x v="348"/>
    <x v="1"/>
  </r>
  <r>
    <n v="353"/>
    <x v="5"/>
    <x v="2"/>
    <n v="45.614127940000003"/>
    <n v="597.03933900000004"/>
    <n v="424.85412710000003"/>
    <n v="276.64666849999998"/>
    <n v="28.074815990000001"/>
    <x v="2"/>
    <x v="349"/>
    <x v="4"/>
  </r>
  <r>
    <n v="354"/>
    <x v="3"/>
    <x v="4"/>
    <n v="61.663027470000003"/>
    <n v="580.33650490000002"/>
    <n v="271.42660330000001"/>
    <n v="201.63538779999999"/>
    <n v="20.659990570000001"/>
    <x v="1"/>
    <x v="350"/>
    <x v="3"/>
  </r>
  <r>
    <n v="355"/>
    <x v="5"/>
    <x v="1"/>
    <n v="55.684410059999998"/>
    <n v="503.3327926"/>
    <n v="605.43012180000005"/>
    <n v="205.08426979999999"/>
    <n v="40.06849459"/>
    <x v="1"/>
    <x v="351"/>
    <x v="4"/>
  </r>
  <r>
    <n v="356"/>
    <x v="2"/>
    <x v="2"/>
    <n v="55.995941129999999"/>
    <n v="404.3823117"/>
    <n v="521.97234249999997"/>
    <n v="205.28269130000001"/>
    <n v="32.811251419999998"/>
    <x v="2"/>
    <x v="352"/>
    <x v="2"/>
  </r>
  <r>
    <n v="357"/>
    <x v="3"/>
    <x v="4"/>
    <n v="44.9287694"/>
    <n v="269.0816269"/>
    <n v="444.474468"/>
    <n v="269.73126939999997"/>
    <n v="33.822391099999997"/>
    <x v="2"/>
    <x v="353"/>
    <x v="3"/>
  </r>
  <r>
    <n v="358"/>
    <x v="2"/>
    <x v="2"/>
    <n v="47.636452630000001"/>
    <n v="515.70536049999998"/>
    <n v="451.18166250000002"/>
    <n v="147.73928190000001"/>
    <n v="25.097652329999999"/>
    <x v="0"/>
    <x v="354"/>
    <x v="2"/>
  </r>
  <r>
    <n v="359"/>
    <x v="2"/>
    <x v="2"/>
    <n v="38.120871909999998"/>
    <n v="608.19420600000001"/>
    <n v="786.56235909999998"/>
    <n v="180.18022400000001"/>
    <n v="31.42028285"/>
    <x v="2"/>
    <x v="355"/>
    <x v="2"/>
  </r>
  <r>
    <n v="360"/>
    <x v="4"/>
    <x v="0"/>
    <n v="46.46983943"/>
    <n v="599.55324689999998"/>
    <n v="402.9366417"/>
    <n v="191.55173970000001"/>
    <n v="31.287874850000001"/>
    <x v="1"/>
    <x v="356"/>
    <x v="4"/>
  </r>
  <r>
    <n v="361"/>
    <x v="5"/>
    <x v="4"/>
    <n v="39.634240839999997"/>
    <n v="581.60728429999995"/>
    <n v="377.60360320000001"/>
    <n v="113.9412087"/>
    <n v="25.89257572"/>
    <x v="1"/>
    <x v="357"/>
    <x v="4"/>
  </r>
  <r>
    <n v="362"/>
    <x v="4"/>
    <x v="3"/>
    <n v="63.130685159999999"/>
    <n v="492.57890209999999"/>
    <n v="490.23410799999999"/>
    <n v="154.19292419999999"/>
    <n v="29.150901569999998"/>
    <x v="2"/>
    <x v="358"/>
    <x v="4"/>
  </r>
  <r>
    <n v="363"/>
    <x v="4"/>
    <x v="4"/>
    <n v="50.50535816"/>
    <n v="608.74641740000004"/>
    <n v="621.65890539999998"/>
    <n v="252.33374140000001"/>
    <n v="22.497661440000002"/>
    <x v="0"/>
    <x v="359"/>
    <x v="4"/>
  </r>
  <r>
    <n v="364"/>
    <x v="5"/>
    <x v="2"/>
    <n v="51.704972349999998"/>
    <n v="592.41618240000003"/>
    <n v="753.40823839999996"/>
    <n v="238.0106748"/>
    <n v="28.266452340000001"/>
    <x v="2"/>
    <x v="360"/>
    <x v="4"/>
  </r>
  <r>
    <n v="365"/>
    <x v="3"/>
    <x v="2"/>
    <n v="47.748534730000003"/>
    <n v="457.73664389999999"/>
    <n v="558.88379559999998"/>
    <n v="246.8533438"/>
    <n v="34.869231290000002"/>
    <x v="2"/>
    <x v="361"/>
    <x v="3"/>
  </r>
  <r>
    <n v="366"/>
    <x v="2"/>
    <x v="4"/>
    <n v="51.975789220000003"/>
    <n v="567.6598017"/>
    <n v="327.55095069999999"/>
    <n v="170.54548890000001"/>
    <n v="26.26575871"/>
    <x v="1"/>
    <x v="362"/>
    <x v="2"/>
  </r>
  <r>
    <n v="367"/>
    <x v="2"/>
    <x v="1"/>
    <n v="74.648776359999999"/>
    <n v="446.40408550000001"/>
    <n v="716.50371250000001"/>
    <n v="176.715238"/>
    <n v="39.536489179999997"/>
    <x v="2"/>
    <x v="363"/>
    <x v="2"/>
  </r>
  <r>
    <n v="368"/>
    <x v="1"/>
    <x v="2"/>
    <n v="46.998597160000003"/>
    <n v="554.00242319999995"/>
    <n v="477.6637561"/>
    <n v="110.59672519999999"/>
    <n v="22.819542439999999"/>
    <x v="1"/>
    <x v="364"/>
    <x v="1"/>
  </r>
  <r>
    <n v="370"/>
    <x v="1"/>
    <x v="2"/>
    <n v="55.29693133"/>
    <n v="377.77881910000002"/>
    <n v="480.48430000000002"/>
    <n v="254.83261340000001"/>
    <n v="26.717850179999999"/>
    <x v="0"/>
    <x v="365"/>
    <x v="1"/>
  </r>
  <r>
    <n v="371"/>
    <x v="2"/>
    <x v="2"/>
    <n v="24.742813659999999"/>
    <n v="605.82070469999996"/>
    <n v="580.35944629999995"/>
    <n v="254.1960483"/>
    <n v="29.09909584"/>
    <x v="2"/>
    <x v="366"/>
    <x v="2"/>
  </r>
  <r>
    <n v="372"/>
    <x v="5"/>
    <x v="0"/>
    <n v="50.63956787"/>
    <n v="593.75601219999999"/>
    <n v="508.65952629999998"/>
    <n v="280.2045627"/>
    <n v="29.664100000000001"/>
    <x v="1"/>
    <x v="367"/>
    <x v="4"/>
  </r>
  <r>
    <n v="373"/>
    <x v="2"/>
    <x v="3"/>
    <n v="46.282870969999998"/>
    <n v="563.36115410000002"/>
    <n v="521.40904520000004"/>
    <n v="221.1054297"/>
    <n v="25.077722519999998"/>
    <x v="2"/>
    <x v="368"/>
    <x v="2"/>
  </r>
  <r>
    <n v="374"/>
    <x v="1"/>
    <x v="2"/>
    <n v="40.07686734"/>
    <n v="508.7968821"/>
    <n v="634.38037429999997"/>
    <n v="277.8440918"/>
    <n v="27.74364735"/>
    <x v="2"/>
    <x v="369"/>
    <x v="1"/>
  </r>
  <r>
    <n v="375"/>
    <x v="0"/>
    <x v="2"/>
    <n v="55.077576700000002"/>
    <n v="260.87255690000001"/>
    <n v="383.74144899999999"/>
    <n v="189.9762695"/>
    <n v="33.27252876"/>
    <x v="0"/>
    <x v="370"/>
    <x v="0"/>
  </r>
  <r>
    <n v="376"/>
    <x v="3"/>
    <x v="0"/>
    <n v="50.539884180000001"/>
    <n v="492.51240619999999"/>
    <n v="643.93855540000004"/>
    <n v="111.6494817"/>
    <n v="30.465793900000001"/>
    <x v="1"/>
    <x v="371"/>
    <x v="3"/>
  </r>
  <r>
    <n v="377"/>
    <x v="2"/>
    <x v="2"/>
    <n v="31.975910930000001"/>
    <n v="545.41831669999999"/>
    <n v="417.70112130000001"/>
    <n v="243.03623390000001"/>
    <n v="30.875874750000001"/>
    <x v="2"/>
    <x v="372"/>
    <x v="2"/>
  </r>
  <r>
    <n v="378"/>
    <x v="2"/>
    <x v="1"/>
    <n v="43.534704789999999"/>
    <n v="446.5266752"/>
    <n v="739.68088490000002"/>
    <n v="109.8055437"/>
    <n v="25.173618300000001"/>
    <x v="1"/>
    <x v="373"/>
    <x v="2"/>
  </r>
  <r>
    <n v="379"/>
    <x v="1"/>
    <x v="3"/>
    <n v="21.117287950000001"/>
    <n v="428.7505807"/>
    <n v="551.84868189999997"/>
    <n v="208.51010249999999"/>
    <n v="29.642082640000002"/>
    <x v="2"/>
    <x v="374"/>
    <x v="1"/>
  </r>
  <r>
    <n v="380"/>
    <x v="3"/>
    <x v="2"/>
    <n v="52.932693139999998"/>
    <n v="644.44203879999998"/>
    <n v="369.57137640000002"/>
    <n v="247.76619009999999"/>
    <n v="35.657892259999997"/>
    <x v="1"/>
    <x v="375"/>
    <x v="3"/>
  </r>
  <r>
    <n v="381"/>
    <x v="3"/>
    <x v="0"/>
    <n v="52.83299418"/>
    <n v="493.97110090000001"/>
    <n v="236.94982999999999"/>
    <n v="216.21293979999999"/>
    <n v="21.952395079999999"/>
    <x v="1"/>
    <x v="376"/>
    <x v="3"/>
  </r>
  <r>
    <n v="382"/>
    <x v="5"/>
    <x v="1"/>
    <n v="42.067181060000003"/>
    <n v="545.47951699999999"/>
    <n v="577.07096669999999"/>
    <n v="199.07849999999999"/>
    <n v="26.513454249999999"/>
    <x v="1"/>
    <x v="377"/>
    <x v="4"/>
  </r>
  <r>
    <n v="383"/>
    <x v="0"/>
    <x v="4"/>
    <n v="55.401127119999998"/>
    <n v="577.41314620000003"/>
    <n v="435.09836689999997"/>
    <n v="101.7035503"/>
    <n v="20.922291850000001"/>
    <x v="0"/>
    <x v="378"/>
    <x v="0"/>
  </r>
  <r>
    <n v="384"/>
    <x v="5"/>
    <x v="0"/>
    <n v="37.175013790000001"/>
    <n v="399.85629230000001"/>
    <n v="461.33211669999997"/>
    <n v="195.8569664"/>
    <n v="32.684878480000002"/>
    <x v="2"/>
    <x v="379"/>
    <x v="4"/>
  </r>
  <r>
    <n v="385"/>
    <x v="5"/>
    <x v="0"/>
    <n v="40.334829740000004"/>
    <n v="519.32074230000001"/>
    <n v="571.9435211"/>
    <n v="200.87277330000001"/>
    <n v="36.127352729999998"/>
    <x v="2"/>
    <x v="380"/>
    <x v="4"/>
  </r>
  <r>
    <n v="386"/>
    <x v="5"/>
    <x v="1"/>
    <n v="54.171904640000001"/>
    <n v="631.96444940000003"/>
    <n v="601.2496592"/>
    <n v="132.79485919999999"/>
    <n v="29.082950060000002"/>
    <x v="0"/>
    <x v="381"/>
    <x v="4"/>
  </r>
  <r>
    <n v="387"/>
    <x v="5"/>
    <x v="0"/>
    <n v="43.113332450000001"/>
    <n v="681.92231830000003"/>
    <n v="626.84524090000002"/>
    <n v="142.31336049999999"/>
    <n v="24.972399930000002"/>
    <x v="2"/>
    <x v="382"/>
    <x v="4"/>
  </r>
  <r>
    <n v="388"/>
    <x v="5"/>
    <x v="1"/>
    <n v="49.37343044"/>
    <n v="503.99363970000002"/>
    <n v="339.01904300000001"/>
    <n v="157.74356950000001"/>
    <n v="25.118767739999999"/>
    <x v="2"/>
    <x v="383"/>
    <x v="4"/>
  </r>
  <r>
    <n v="389"/>
    <x v="2"/>
    <x v="2"/>
    <n v="44.363509729999997"/>
    <n v="476.20564530000001"/>
    <n v="651.10736999999995"/>
    <n v="145.01763529999999"/>
    <n v="28.514713960000002"/>
    <x v="2"/>
    <x v="384"/>
    <x v="2"/>
  </r>
  <r>
    <n v="390"/>
    <x v="3"/>
    <x v="1"/>
    <n v="45.890688439999998"/>
    <n v="526.90240679999999"/>
    <n v="410.51455970000001"/>
    <n v="194.6002675"/>
    <n v="28.49563977"/>
    <x v="1"/>
    <x v="385"/>
    <x v="3"/>
  </r>
  <r>
    <n v="391"/>
    <x v="5"/>
    <x v="1"/>
    <n v="46.327757839999997"/>
    <n v="524.36370469999997"/>
    <n v="209.25000779999999"/>
    <n v="169.851755"/>
    <n v="34.559158889999999"/>
    <x v="0"/>
    <x v="386"/>
    <x v="4"/>
  </r>
  <r>
    <n v="392"/>
    <x v="3"/>
    <x v="3"/>
    <n v="42.932432429999999"/>
    <n v="638.67580659999999"/>
    <n v="338.58715840000002"/>
    <n v="215.89541919999999"/>
    <n v="26.655619829999999"/>
    <x v="2"/>
    <x v="387"/>
    <x v="3"/>
  </r>
  <r>
    <n v="393"/>
    <x v="3"/>
    <x v="1"/>
    <n v="53.024497140000001"/>
    <n v="400.36083109999998"/>
    <n v="506.16301110000001"/>
    <n v="232.4715233"/>
    <n v="32.175391689999998"/>
    <x v="2"/>
    <x v="388"/>
    <x v="3"/>
  </r>
  <r>
    <n v="394"/>
    <x v="4"/>
    <x v="1"/>
    <n v="43.720715130000002"/>
    <n v="472.01269139999999"/>
    <n v="362.54229049999998"/>
    <n v="229.08894799999999"/>
    <n v="28.47264985"/>
    <x v="1"/>
    <x v="389"/>
    <x v="4"/>
  </r>
  <r>
    <n v="395"/>
    <x v="2"/>
    <x v="4"/>
    <n v="50.156867140000003"/>
    <n v="388.28586730000001"/>
    <n v="469.43466369999999"/>
    <n v="179.49368770000001"/>
    <n v="26.276215220000001"/>
    <x v="0"/>
    <x v="390"/>
    <x v="2"/>
  </r>
  <r>
    <n v="396"/>
    <x v="5"/>
    <x v="2"/>
    <n v="42.71268319"/>
    <n v="398.79051140000001"/>
    <n v="520.59029850000002"/>
    <n v="214.2237815"/>
    <n v="28.34811968"/>
    <x v="2"/>
    <x v="391"/>
    <x v="4"/>
  </r>
  <r>
    <n v="397"/>
    <x v="2"/>
    <x v="3"/>
    <n v="34.657013739999996"/>
    <n v="537.65740149999999"/>
    <n v="458.23375160000001"/>
    <n v="251.75644579999999"/>
    <n v="31.682691909999999"/>
    <x v="1"/>
    <x v="392"/>
    <x v="2"/>
  </r>
  <r>
    <n v="398"/>
    <x v="1"/>
    <x v="4"/>
    <n v="59.12435249"/>
    <n v="580.98578420000001"/>
    <n v="420.6774795"/>
    <n v="222.2782291"/>
    <n v="34.574666950000001"/>
    <x v="0"/>
    <x v="393"/>
    <x v="1"/>
  </r>
  <r>
    <n v="399"/>
    <x v="0"/>
    <x v="2"/>
    <n v="52.351548829999999"/>
    <n v="435.06083059999997"/>
    <n v="329.91647239999998"/>
    <n v="292.94888470000001"/>
    <n v="28.740134059999999"/>
    <x v="1"/>
    <x v="394"/>
    <x v="0"/>
  </r>
  <r>
    <n v="400"/>
    <x v="2"/>
    <x v="2"/>
    <n v="72.886820689999993"/>
    <n v="577.20947890000002"/>
    <n v="482.63325700000001"/>
    <n v="249.10894930000001"/>
    <n v="23.980309349999999"/>
    <x v="2"/>
    <x v="395"/>
    <x v="2"/>
  </r>
  <r>
    <n v="401"/>
    <x v="2"/>
    <x v="2"/>
    <n v="50.539879999999997"/>
    <n v="611.1578657"/>
    <n v="232.20511350000001"/>
    <n v="285.9203536"/>
    <n v="34.99857402"/>
    <x v="1"/>
    <x v="396"/>
    <x v="2"/>
  </r>
  <r>
    <n v="403"/>
    <x v="2"/>
    <x v="1"/>
    <n v="48.714925190000002"/>
    <n v="506.9746849"/>
    <n v="368.66590689999998"/>
    <n v="204.8338061"/>
    <n v="29.664100000000001"/>
    <x v="1"/>
    <x v="397"/>
    <x v="2"/>
  </r>
  <r>
    <n v="404"/>
    <x v="3"/>
    <x v="4"/>
    <n v="59.893694379999999"/>
    <n v="436.02354730000002"/>
    <n v="451.27477779999998"/>
    <n v="183.80337499999999"/>
    <n v="29.875836660000001"/>
    <x v="2"/>
    <x v="398"/>
    <x v="3"/>
  </r>
  <r>
    <n v="405"/>
    <x v="0"/>
    <x v="0"/>
    <n v="44.92892106"/>
    <n v="399.75280679999997"/>
    <n v="454.40042410000001"/>
    <n v="193.7510135"/>
    <n v="29.20714954"/>
    <x v="2"/>
    <x v="399"/>
    <x v="0"/>
  </r>
  <r>
    <n v="406"/>
    <x v="3"/>
    <x v="4"/>
    <n v="38.289581460000001"/>
    <n v="389.82068020000003"/>
    <n v="595.19480090000002"/>
    <n v="159.75202899999999"/>
    <n v="27.565118500000001"/>
    <x v="0"/>
    <x v="400"/>
    <x v="3"/>
  </r>
  <r>
    <n v="407"/>
    <x v="2"/>
    <x v="0"/>
    <n v="62.078093080000002"/>
    <n v="624.97807009999997"/>
    <n v="670.01727330000006"/>
    <n v="219.80996999999999"/>
    <n v="33.100743899999998"/>
    <x v="1"/>
    <x v="401"/>
    <x v="2"/>
  </r>
  <r>
    <n v="408"/>
    <x v="2"/>
    <x v="2"/>
    <n v="46.833499709999998"/>
    <n v="348.49046570000002"/>
    <n v="345.86653919999998"/>
    <n v="109.5821784"/>
    <n v="12.08968696"/>
    <x v="1"/>
    <x v="402"/>
    <x v="2"/>
  </r>
  <r>
    <n v="409"/>
    <x v="1"/>
    <x v="2"/>
    <n v="58.786435099999998"/>
    <n v="621.77484860000004"/>
    <n v="719.13991499999997"/>
    <n v="220.17184309999999"/>
    <n v="35.682352539999997"/>
    <x v="0"/>
    <x v="403"/>
    <x v="1"/>
  </r>
  <r>
    <n v="410"/>
    <x v="1"/>
    <x v="2"/>
    <n v="57.621984009999998"/>
    <n v="413.1558971"/>
    <n v="386.48452809999998"/>
    <n v="161.41443899999999"/>
    <n v="25.437461129999999"/>
    <x v="2"/>
    <x v="404"/>
    <x v="1"/>
  </r>
  <r>
    <n v="411"/>
    <x v="5"/>
    <x v="3"/>
    <n v="49.701095260000002"/>
    <n v="431.47938019999998"/>
    <n v="500.703214"/>
    <n v="174.9806955"/>
    <n v="32.03978455"/>
    <x v="2"/>
    <x v="405"/>
    <x v="4"/>
  </r>
  <r>
    <n v="412"/>
    <x v="2"/>
    <x v="2"/>
    <n v="48.256862949999999"/>
    <n v="484.84445449999998"/>
    <n v="541.30355870000005"/>
    <n v="221.92508849999999"/>
    <n v="31.775128089999999"/>
    <x v="2"/>
    <x v="406"/>
    <x v="2"/>
  </r>
  <r>
    <n v="413"/>
    <x v="5"/>
    <x v="2"/>
    <n v="46.084351939999998"/>
    <n v="429.634545"/>
    <n v="773.34993029999998"/>
    <n v="203.9388864"/>
    <n v="36.374886910000001"/>
    <x v="1"/>
    <x v="407"/>
    <x v="4"/>
  </r>
  <r>
    <n v="414"/>
    <x v="2"/>
    <x v="3"/>
    <n v="49.84806871"/>
    <n v="503.25760000000002"/>
    <n v="414.92611950000003"/>
    <n v="252.69604559999999"/>
    <n v="30.988745680000001"/>
    <x v="1"/>
    <x v="408"/>
    <x v="2"/>
  </r>
  <r>
    <n v="415"/>
    <x v="5"/>
    <x v="4"/>
    <n v="58.631002260000002"/>
    <n v="681.33439520000002"/>
    <n v="264.39143840000003"/>
    <n v="151.52482470000001"/>
    <n v="25.854454100000002"/>
    <x v="0"/>
    <x v="409"/>
    <x v="4"/>
  </r>
  <r>
    <n v="416"/>
    <x v="3"/>
    <x v="4"/>
    <n v="42.035598190000002"/>
    <n v="434.25678420000003"/>
    <n v="658.84553640000001"/>
    <n v="195.96471740000001"/>
    <n v="21.976225060000001"/>
    <x v="1"/>
    <x v="410"/>
    <x v="3"/>
  </r>
  <r>
    <n v="417"/>
    <x v="1"/>
    <x v="3"/>
    <n v="51.088456299999997"/>
    <n v="456.7762161"/>
    <n v="379.9951729"/>
    <n v="244.43865589999999"/>
    <n v="28.255984229999999"/>
    <x v="2"/>
    <x v="411"/>
    <x v="1"/>
  </r>
  <r>
    <n v="418"/>
    <x v="2"/>
    <x v="2"/>
    <n v="38.813685720000002"/>
    <n v="483.66791929999999"/>
    <n v="436.60937030000002"/>
    <n v="218.05998719999999"/>
    <n v="20.209122860000001"/>
    <x v="1"/>
    <x v="412"/>
    <x v="2"/>
  </r>
  <r>
    <n v="419"/>
    <x v="2"/>
    <x v="2"/>
    <n v="40.058937669999999"/>
    <n v="554.10567630000003"/>
    <n v="345.87004150000001"/>
    <n v="221.2797127"/>
    <n v="26.85757147"/>
    <x v="1"/>
    <x v="413"/>
    <x v="2"/>
  </r>
  <r>
    <n v="420"/>
    <x v="2"/>
    <x v="2"/>
    <n v="49.690610030000002"/>
    <n v="503.25760000000002"/>
    <n v="436.95554720000001"/>
    <n v="255.4021429"/>
    <n v="28.5368469"/>
    <x v="1"/>
    <x v="414"/>
    <x v="2"/>
  </r>
  <r>
    <n v="421"/>
    <x v="2"/>
    <x v="2"/>
    <n v="30.398419919999998"/>
    <n v="638.72574110000005"/>
    <n v="379.15301570000003"/>
    <n v="179.68787760000001"/>
    <n v="26.550420110000001"/>
    <x v="1"/>
    <x v="415"/>
    <x v="2"/>
  </r>
  <r>
    <n v="422"/>
    <x v="5"/>
    <x v="4"/>
    <n v="70.605586169999995"/>
    <n v="614.66239169999994"/>
    <n v="561.17301799999996"/>
    <n v="169.1584561"/>
    <n v="30.208868290000002"/>
    <x v="1"/>
    <x v="416"/>
    <x v="4"/>
  </r>
  <r>
    <n v="423"/>
    <x v="2"/>
    <x v="1"/>
    <n v="38.069400450000003"/>
    <n v="381.4537646"/>
    <n v="489.69499560000003"/>
    <n v="228.79522180000001"/>
    <n v="28.819479950000002"/>
    <x v="1"/>
    <x v="417"/>
    <x v="2"/>
  </r>
  <r>
    <n v="424"/>
    <x v="0"/>
    <x v="1"/>
    <n v="49.599114870000001"/>
    <n v="552.09681660000001"/>
    <n v="398.27338070000002"/>
    <n v="192.52842570000001"/>
    <n v="28.36156729"/>
    <x v="2"/>
    <x v="418"/>
    <x v="0"/>
  </r>
  <r>
    <n v="425"/>
    <x v="3"/>
    <x v="1"/>
    <n v="61.68217722"/>
    <n v="652.03392369999995"/>
    <n v="599.50463720000005"/>
    <n v="256.1101784"/>
    <n v="17.879246909999999"/>
    <x v="1"/>
    <x v="419"/>
    <x v="3"/>
  </r>
  <r>
    <n v="426"/>
    <x v="1"/>
    <x v="4"/>
    <n v="41.370946609999997"/>
    <n v="503.25760000000002"/>
    <n v="510.59961010000001"/>
    <n v="218.48867190000001"/>
    <n v="23.526474100000001"/>
    <x v="2"/>
    <x v="420"/>
    <x v="1"/>
  </r>
  <r>
    <n v="427"/>
    <x v="2"/>
    <x v="4"/>
    <n v="134.8651505"/>
    <n v="1882.2940510000001"/>
    <n v="258.47420990000001"/>
    <n v="168.83246600000001"/>
    <n v="33.213283660000002"/>
    <x v="2"/>
    <x v="421"/>
    <x v="2"/>
  </r>
  <r>
    <n v="428"/>
    <x v="1"/>
    <x v="2"/>
    <n v="45.550542399999998"/>
    <n v="447.1963002"/>
    <n v="590.36439770000004"/>
    <n v="216.9192013"/>
    <n v="34.021281360000003"/>
    <x v="2"/>
    <x v="422"/>
    <x v="1"/>
  </r>
  <r>
    <n v="429"/>
    <x v="0"/>
    <x v="2"/>
    <n v="41.251796200000001"/>
    <n v="449.29243839999998"/>
    <n v="502.18414610000002"/>
    <n v="154.86501680000001"/>
    <n v="20.806116410000001"/>
    <x v="2"/>
    <x v="423"/>
    <x v="0"/>
  </r>
  <r>
    <n v="430"/>
    <x v="2"/>
    <x v="2"/>
    <n v="27.236264909999999"/>
    <n v="333.15484479999998"/>
    <n v="646.88789850000001"/>
    <n v="247.34642339999999"/>
    <n v="25.92640909"/>
    <x v="1"/>
    <x v="424"/>
    <x v="2"/>
  </r>
  <r>
    <n v="431"/>
    <x v="2"/>
    <x v="2"/>
    <n v="52.848898929999997"/>
    <n v="367.16850490000002"/>
    <n v="494.87009119999999"/>
    <n v="130.14238470000001"/>
    <n v="35.359826839999997"/>
    <x v="0"/>
    <x v="425"/>
    <x v="2"/>
  </r>
  <r>
    <n v="432"/>
    <x v="0"/>
    <x v="4"/>
    <n v="52.07093862"/>
    <n v="507.74737190000002"/>
    <n v="384.99487790000001"/>
    <n v="261.10326370000001"/>
    <n v="26.409805930000001"/>
    <x v="1"/>
    <x v="426"/>
    <x v="0"/>
  </r>
  <r>
    <n v="433"/>
    <x v="2"/>
    <x v="1"/>
    <n v="61.423264549999999"/>
    <n v="651.35979750000001"/>
    <n v="455.48455999999999"/>
    <n v="216.04382559999999"/>
    <n v="29.442546060000002"/>
    <x v="1"/>
    <x v="427"/>
    <x v="2"/>
  </r>
  <r>
    <n v="434"/>
    <x v="3"/>
    <x v="0"/>
    <n v="38.791776339999998"/>
    <n v="438.66391870000001"/>
    <n v="576.4703197"/>
    <n v="191.7719515"/>
    <n v="37.209026649999998"/>
    <x v="1"/>
    <x v="428"/>
    <x v="3"/>
  </r>
  <r>
    <n v="435"/>
    <x v="4"/>
    <x v="2"/>
    <n v="34.008635140000003"/>
    <n v="435.72426969999998"/>
    <n v="387.5115528"/>
    <n v="238.1667075"/>
    <n v="28.19211344"/>
    <x v="2"/>
    <x v="429"/>
    <x v="4"/>
  </r>
  <r>
    <n v="436"/>
    <x v="2"/>
    <x v="4"/>
    <n v="45.93276917"/>
    <n v="670.152107"/>
    <n v="427.16438549999998"/>
    <n v="225.56633220000001"/>
    <n v="27.476402950000001"/>
    <x v="1"/>
    <x v="430"/>
    <x v="2"/>
  </r>
  <r>
    <n v="437"/>
    <x v="4"/>
    <x v="1"/>
    <n v="49.116573410000001"/>
    <n v="389.17425379999997"/>
    <n v="453.3973704"/>
    <n v="266.51908429999997"/>
    <n v="29.214816549999998"/>
    <x v="1"/>
    <x v="431"/>
    <x v="4"/>
  </r>
  <r>
    <n v="439"/>
    <x v="5"/>
    <x v="0"/>
    <n v="64.105680050000004"/>
    <n v="417.14845639999999"/>
    <n v="389.24118900000002"/>
    <n v="217.61452220000001"/>
    <n v="32.231009180000001"/>
    <x v="1"/>
    <x v="432"/>
    <x v="4"/>
  </r>
  <r>
    <n v="440"/>
    <x v="0"/>
    <x v="4"/>
    <n v="62.144791339999998"/>
    <n v="433.7215521"/>
    <n v="500.70602300000002"/>
    <n v="156.41146560000001"/>
    <n v="30.09540814"/>
    <x v="2"/>
    <x v="433"/>
    <x v="0"/>
  </r>
  <r>
    <n v="441"/>
    <x v="3"/>
    <x v="3"/>
    <n v="52.76543667"/>
    <n v="325.25469149999998"/>
    <n v="624.29732969999998"/>
    <n v="172.92455000000001"/>
    <n v="27.37820022"/>
    <x v="1"/>
    <x v="434"/>
    <x v="3"/>
  </r>
  <r>
    <n v="442"/>
    <x v="5"/>
    <x v="2"/>
    <n v="57.994992539999998"/>
    <n v="487.19582939999998"/>
    <n v="518.05763820000004"/>
    <n v="196.41765570000001"/>
    <n v="32.69408464"/>
    <x v="2"/>
    <x v="435"/>
    <x v="4"/>
  </r>
  <r>
    <n v="443"/>
    <x v="4"/>
    <x v="0"/>
    <n v="43.595065650000002"/>
    <n v="594.84463500000004"/>
    <n v="474.49664890000003"/>
    <n v="254.08608469999999"/>
    <n v="33.298498850000001"/>
    <x v="0"/>
    <x v="436"/>
    <x v="4"/>
  </r>
  <r>
    <n v="444"/>
    <x v="0"/>
    <x v="4"/>
    <n v="258.41975960000002"/>
    <n v="1485.618091"/>
    <n v="380.24750710000001"/>
    <n v="177.18067690000001"/>
    <n v="24.634107449999998"/>
    <x v="2"/>
    <x v="437"/>
    <x v="0"/>
  </r>
  <r>
    <n v="445"/>
    <x v="5"/>
    <x v="4"/>
    <n v="38.087098609999998"/>
    <n v="508.75782190000001"/>
    <n v="611.41924940000001"/>
    <n v="181.35297399999999"/>
    <n v="33.433140960000003"/>
    <x v="2"/>
    <x v="438"/>
    <x v="4"/>
  </r>
  <r>
    <n v="446"/>
    <x v="0"/>
    <x v="1"/>
    <n v="50.626853969999999"/>
    <n v="539.59356760000003"/>
    <n v="532.02066000000002"/>
    <n v="292.4175315"/>
    <n v="29.24423857"/>
    <x v="1"/>
    <x v="439"/>
    <x v="0"/>
  </r>
  <r>
    <n v="447"/>
    <x v="4"/>
    <x v="3"/>
    <n v="50.886466970000001"/>
    <n v="491.66157249999998"/>
    <n v="395.19242839999998"/>
    <n v="194.78507440000001"/>
    <n v="30.123993169999999"/>
    <x v="0"/>
    <x v="440"/>
    <x v="4"/>
  </r>
  <r>
    <n v="448"/>
    <x v="0"/>
    <x v="2"/>
    <n v="128.78537299999999"/>
    <n v="518.56925899999999"/>
    <n v="587.83781499999998"/>
    <n v="168.2634055"/>
    <n v="25.578554990000001"/>
    <x v="2"/>
    <x v="441"/>
    <x v="0"/>
  </r>
  <r>
    <n v="449"/>
    <x v="3"/>
    <x v="2"/>
    <n v="47.710171389999999"/>
    <n v="519.73272629999997"/>
    <n v="547.14924740000004"/>
    <n v="238.83230140000001"/>
    <n v="28.000089859999999"/>
    <x v="2"/>
    <x v="442"/>
    <x v="3"/>
  </r>
  <r>
    <n v="450"/>
    <x v="4"/>
    <x v="1"/>
    <n v="50.900428380000001"/>
    <n v="418.72720429999998"/>
    <n v="382.3763581"/>
    <n v="197.19328590000001"/>
    <n v="24.84928867"/>
    <x v="2"/>
    <x v="443"/>
    <x v="4"/>
  </r>
  <r>
    <n v="451"/>
    <x v="4"/>
    <x v="0"/>
    <n v="50.539879999999997"/>
    <n v="649.85825720000003"/>
    <n v="467.83460919999999"/>
    <n v="130.5200418"/>
    <n v="24.608909149999999"/>
    <x v="2"/>
    <x v="444"/>
    <x v="4"/>
  </r>
  <r>
    <n v="452"/>
    <x v="4"/>
    <x v="0"/>
    <n v="45.45179684"/>
    <n v="624.77568340000005"/>
    <n v="420.86727259999998"/>
    <n v="252.04570409999999"/>
    <n v="31.885451100000001"/>
    <x v="1"/>
    <x v="445"/>
    <x v="4"/>
  </r>
  <r>
    <n v="453"/>
    <x v="2"/>
    <x v="1"/>
    <n v="41.975072670000003"/>
    <n v="618.99113969999996"/>
    <n v="796.02455280000004"/>
    <n v="162.648034"/>
    <n v="28.224417169999999"/>
    <x v="0"/>
    <x v="446"/>
    <x v="2"/>
  </r>
  <r>
    <n v="454"/>
    <x v="2"/>
    <x v="4"/>
    <n v="62.988113249999998"/>
    <n v="601.36757409999996"/>
    <n v="543.80938600000002"/>
    <n v="202.17927990000001"/>
    <n v="23.50181165"/>
    <x v="2"/>
    <x v="447"/>
    <x v="2"/>
  </r>
  <r>
    <n v="455"/>
    <x v="2"/>
    <x v="0"/>
    <n v="40.190825570000001"/>
    <n v="342.50205310000001"/>
    <n v="502.41144659999998"/>
    <n v="196.5930443"/>
    <n v="40.88526324"/>
    <x v="1"/>
    <x v="448"/>
    <x v="2"/>
  </r>
  <r>
    <n v="456"/>
    <x v="3"/>
    <x v="3"/>
    <n v="36.720819280000001"/>
    <n v="592.60623780000003"/>
    <n v="536.71956669999997"/>
    <n v="211.50505870000001"/>
    <n v="24.376724800000002"/>
    <x v="0"/>
    <x v="449"/>
    <x v="3"/>
  </r>
  <r>
    <n v="457"/>
    <x v="5"/>
    <x v="2"/>
    <n v="56.802653790000001"/>
    <n v="565.56014279999999"/>
    <n v="645.49951060000001"/>
    <n v="90.446296369999999"/>
    <n v="35.460514809999999"/>
    <x v="2"/>
    <x v="450"/>
    <x v="4"/>
  </r>
  <r>
    <n v="458"/>
    <x v="0"/>
    <x v="3"/>
    <n v="61.578148419999998"/>
    <n v="346.34763850000002"/>
    <n v="469.99438270000002"/>
    <n v="183.24502609999999"/>
    <n v="22.617681789999999"/>
    <x v="1"/>
    <x v="451"/>
    <x v="0"/>
  </r>
  <r>
    <n v="459"/>
    <x v="2"/>
    <x v="0"/>
    <n v="45.48590342"/>
    <n v="478.50896449999999"/>
    <n v="409.21088429999998"/>
    <n v="256.24185299999999"/>
    <n v="32.282511679999999"/>
    <x v="0"/>
    <x v="452"/>
    <x v="2"/>
  </r>
  <r>
    <n v="460"/>
    <x v="4"/>
    <x v="2"/>
    <n v="45.639465119999997"/>
    <n v="527.67934490000005"/>
    <n v="581.31398739999997"/>
    <n v="263.27227599999998"/>
    <n v="28.74719816"/>
    <x v="1"/>
    <x v="453"/>
    <x v="4"/>
  </r>
  <r>
    <n v="461"/>
    <x v="0"/>
    <x v="2"/>
    <n v="52.825435259999999"/>
    <n v="666.43170980000002"/>
    <n v="459.0066521"/>
    <n v="150.43548089999999"/>
    <n v="26.85471634"/>
    <x v="2"/>
    <x v="454"/>
    <x v="0"/>
  </r>
  <r>
    <n v="462"/>
    <x v="4"/>
    <x v="2"/>
    <n v="42.921473229999997"/>
    <n v="572.47238579999998"/>
    <n v="351.61256049999997"/>
    <n v="246.02991209999999"/>
    <n v="30.983711620000001"/>
    <x v="1"/>
    <x v="455"/>
    <x v="4"/>
  </r>
  <r>
    <n v="463"/>
    <x v="3"/>
    <x v="1"/>
    <n v="42.18287479"/>
    <n v="413.54342730000002"/>
    <n v="328.23762820000002"/>
    <n v="161.92851229999999"/>
    <n v="30.31129928"/>
    <x v="2"/>
    <x v="456"/>
    <x v="3"/>
  </r>
  <r>
    <n v="464"/>
    <x v="4"/>
    <x v="1"/>
    <n v="58.795925879999999"/>
    <n v="669.53884579999999"/>
    <n v="663.51558609999995"/>
    <n v="181.27338700000001"/>
    <n v="25.937674080000001"/>
    <x v="2"/>
    <x v="457"/>
    <x v="4"/>
  </r>
  <r>
    <n v="465"/>
    <x v="2"/>
    <x v="2"/>
    <n v="56.071311010000002"/>
    <n v="504.3779763"/>
    <n v="495.797348"/>
    <n v="183.90078170000001"/>
    <n v="25.711305599999999"/>
    <x v="2"/>
    <x v="458"/>
    <x v="2"/>
  </r>
  <r>
    <n v="466"/>
    <x v="2"/>
    <x v="4"/>
    <n v="63.111588859999998"/>
    <n v="474.41588630000001"/>
    <n v="409.25191389999998"/>
    <n v="205.44018550000001"/>
    <n v="22.130428940000002"/>
    <x v="0"/>
    <x v="459"/>
    <x v="2"/>
  </r>
  <r>
    <n v="467"/>
    <x v="1"/>
    <x v="2"/>
    <n v="37.47410988"/>
    <n v="467.28818030000002"/>
    <n v="451.87981070000001"/>
    <n v="250.0683228"/>
    <n v="31.527821920000001"/>
    <x v="1"/>
    <x v="460"/>
    <x v="1"/>
  </r>
  <r>
    <n v="468"/>
    <x v="4"/>
    <x v="2"/>
    <n v="44.975375130000003"/>
    <n v="337.64447619999999"/>
    <n v="576.89336619999995"/>
    <n v="213.22922679999999"/>
    <n v="23.730975860000001"/>
    <x v="2"/>
    <x v="461"/>
    <x v="4"/>
  </r>
  <r>
    <n v="469"/>
    <x v="0"/>
    <x v="1"/>
    <n v="52.811795619999998"/>
    <n v="489.02304959999998"/>
    <n v="444.79133810000002"/>
    <n v="193.693412"/>
    <n v="30.019874779999999"/>
    <x v="2"/>
    <x v="462"/>
    <x v="0"/>
  </r>
  <r>
    <n v="470"/>
    <x v="2"/>
    <x v="1"/>
    <n v="40.7437915"/>
    <n v="549.74852569999996"/>
    <n v="306.06963250000001"/>
    <n v="248.3655617"/>
    <n v="32.96238992"/>
    <x v="0"/>
    <x v="463"/>
    <x v="2"/>
  </r>
  <r>
    <n v="471"/>
    <x v="1"/>
    <x v="2"/>
    <n v="56.416874370000002"/>
    <n v="461.46166720000002"/>
    <n v="519.10090230000003"/>
    <n v="159.8669305"/>
    <n v="31.04027516"/>
    <x v="2"/>
    <x v="464"/>
    <x v="1"/>
  </r>
  <r>
    <n v="472"/>
    <x v="2"/>
    <x v="3"/>
    <n v="62.246270869999996"/>
    <n v="542.0452477"/>
    <n v="625.00173810000001"/>
    <n v="196.13912780000001"/>
    <n v="26.384343510000001"/>
    <x v="1"/>
    <x v="465"/>
    <x v="2"/>
  </r>
  <r>
    <n v="473"/>
    <x v="1"/>
    <x v="0"/>
    <n v="44.166420279999997"/>
    <n v="413.5608929"/>
    <n v="616.97571819999996"/>
    <n v="249.78906140000001"/>
    <n v="34.544062060000002"/>
    <x v="2"/>
    <x v="466"/>
    <x v="1"/>
  </r>
  <r>
    <n v="474"/>
    <x v="2"/>
    <x v="1"/>
    <n v="178.93749260000001"/>
    <n v="485.90720859999999"/>
    <n v="412.88040740000002"/>
    <n v="226.46531060000001"/>
    <n v="27.960142609999998"/>
    <x v="2"/>
    <x v="467"/>
    <x v="2"/>
  </r>
  <r>
    <n v="475"/>
    <x v="5"/>
    <x v="4"/>
    <n v="64.5561869"/>
    <n v="531.65403270000002"/>
    <n v="632.30071880000003"/>
    <n v="176.68480109999999"/>
    <n v="23.329196199999998"/>
    <x v="2"/>
    <x v="468"/>
    <x v="4"/>
  </r>
  <r>
    <n v="476"/>
    <x v="5"/>
    <x v="4"/>
    <n v="67.992715750000002"/>
    <n v="518.9660877"/>
    <n v="505.55399679999999"/>
    <n v="124.3521617"/>
    <n v="28.581362479999999"/>
    <x v="2"/>
    <x v="469"/>
    <x v="4"/>
  </r>
  <r>
    <n v="477"/>
    <x v="1"/>
    <x v="1"/>
    <n v="57.458012510000003"/>
    <n v="339.45349099999999"/>
    <n v="628.93768130000001"/>
    <n v="215.54290950000001"/>
    <n v="32.93398689"/>
    <x v="2"/>
    <x v="470"/>
    <x v="1"/>
  </r>
  <r>
    <n v="478"/>
    <x v="3"/>
    <x v="4"/>
    <n v="55.934291729999998"/>
    <n v="456.09940490000002"/>
    <n v="548.84244360000002"/>
    <n v="121.0662399"/>
    <n v="26.627928430000001"/>
    <x v="2"/>
    <x v="471"/>
    <x v="3"/>
  </r>
  <r>
    <n v="479"/>
    <x v="0"/>
    <x v="3"/>
    <n v="41.462634649999998"/>
    <n v="667.74629300000004"/>
    <n v="297.4083789"/>
    <n v="189.37493180000001"/>
    <n v="34.390912069999999"/>
    <x v="2"/>
    <x v="472"/>
    <x v="0"/>
  </r>
  <r>
    <n v="480"/>
    <x v="0"/>
    <x v="2"/>
    <n v="53.592094000000003"/>
    <n v="450.75539259999999"/>
    <n v="689.60867250000001"/>
    <n v="258.94742000000002"/>
    <n v="26.148369670000001"/>
    <x v="0"/>
    <x v="473"/>
    <x v="0"/>
  </r>
  <r>
    <n v="481"/>
    <x v="1"/>
    <x v="4"/>
    <n v="55.568208409999997"/>
    <n v="501.58075439999999"/>
    <n v="486.21406209999998"/>
    <n v="229.83793230000001"/>
    <n v="26.828934029999999"/>
    <x v="1"/>
    <x v="474"/>
    <x v="1"/>
  </r>
  <r>
    <n v="482"/>
    <x v="4"/>
    <x v="2"/>
    <n v="47.89629841"/>
    <n v="491.3244249"/>
    <n v="549.21525889999998"/>
    <n v="98.817301099999995"/>
    <n v="24.769604919999999"/>
    <x v="0"/>
    <x v="475"/>
    <x v="4"/>
  </r>
  <r>
    <n v="483"/>
    <x v="4"/>
    <x v="4"/>
    <n v="44.05223745"/>
    <n v="656.82397590000005"/>
    <n v="318.71464459999999"/>
    <n v="210.02257520000001"/>
    <n v="33.418547680000003"/>
    <x v="2"/>
    <x v="476"/>
    <x v="4"/>
  </r>
  <r>
    <n v="484"/>
    <x v="0"/>
    <x v="0"/>
    <n v="37.187023269999997"/>
    <n v="629.03681219999999"/>
    <n v="540.63918000000001"/>
    <n v="184.04150430000001"/>
    <n v="29.733787150000001"/>
    <x v="0"/>
    <x v="477"/>
    <x v="0"/>
  </r>
  <r>
    <n v="485"/>
    <x v="0"/>
    <x v="0"/>
    <n v="32.622702449999998"/>
    <n v="580.75310000000002"/>
    <n v="612.3513279"/>
    <n v="136.31413000000001"/>
    <n v="25.101190259999999"/>
    <x v="1"/>
    <x v="478"/>
    <x v="0"/>
  </r>
  <r>
    <n v="486"/>
    <x v="5"/>
    <x v="2"/>
    <n v="30.52116487"/>
    <n v="402.67576869999999"/>
    <n v="712.23844039999994"/>
    <n v="216.75106479999999"/>
    <n v="29.664100000000001"/>
    <x v="2"/>
    <x v="479"/>
    <x v="4"/>
  </r>
  <r>
    <n v="487"/>
    <x v="3"/>
    <x v="2"/>
    <n v="55.79442573"/>
    <n v="535.91830489999995"/>
    <n v="648.04797540000004"/>
    <n v="175.41310759999999"/>
    <n v="14.644245059999999"/>
    <x v="1"/>
    <x v="480"/>
    <x v="3"/>
  </r>
  <r>
    <n v="488"/>
    <x v="2"/>
    <x v="1"/>
    <n v="228.69909820000001"/>
    <n v="556.79417430000001"/>
    <n v="546.50696449999998"/>
    <n v="175.72329809999999"/>
    <n v="33.88986182"/>
    <x v="1"/>
    <x v="481"/>
    <x v="2"/>
  </r>
  <r>
    <n v="489"/>
    <x v="4"/>
    <x v="2"/>
    <n v="45.161888679999997"/>
    <n v="430.13951639999999"/>
    <n v="294.67471760000001"/>
    <n v="206.20225590000001"/>
    <n v="29.146266799999999"/>
    <x v="2"/>
    <x v="482"/>
    <x v="4"/>
  </r>
  <r>
    <n v="490"/>
    <x v="0"/>
    <x v="1"/>
    <n v="46.685437020000002"/>
    <n v="412.94828940000002"/>
    <n v="495.87273490000001"/>
    <n v="199.07849999999999"/>
    <n v="17.968809239999999"/>
    <x v="2"/>
    <x v="483"/>
    <x v="0"/>
  </r>
  <r>
    <n v="491"/>
    <x v="5"/>
    <x v="3"/>
    <n v="52.104705420000002"/>
    <n v="670.50141470000005"/>
    <n v="408.89885220000002"/>
    <n v="204.78679170000001"/>
    <n v="22.71659279"/>
    <x v="1"/>
    <x v="484"/>
    <x v="4"/>
  </r>
  <r>
    <n v="492"/>
    <x v="2"/>
    <x v="2"/>
    <n v="48.354369290000001"/>
    <n v="469.91966880000001"/>
    <n v="508.19734499999998"/>
    <n v="170.3337555"/>
    <n v="27.892029690000001"/>
    <x v="2"/>
    <x v="485"/>
    <x v="2"/>
  </r>
  <r>
    <n v="493"/>
    <x v="5"/>
    <x v="3"/>
    <n v="36.594468200000001"/>
    <n v="661.49768189999998"/>
    <n v="334.04090009999999"/>
    <n v="173.07692700000001"/>
    <n v="23.429146200000002"/>
    <x v="2"/>
    <x v="486"/>
    <x v="4"/>
  </r>
  <r>
    <n v="494"/>
    <x v="4"/>
    <x v="0"/>
    <n v="59.1300022"/>
    <n v="599.70937549999996"/>
    <n v="454.77997110000001"/>
    <n v="249.6464885"/>
    <n v="33.966746620000002"/>
    <x v="1"/>
    <x v="487"/>
    <x v="4"/>
  </r>
  <r>
    <n v="495"/>
    <x v="4"/>
    <x v="0"/>
    <n v="53.041261710000001"/>
    <n v="540.78767819999996"/>
    <n v="417.9380299"/>
    <n v="254.7335818"/>
    <n v="29.664100000000001"/>
    <x v="2"/>
    <x v="488"/>
    <x v="4"/>
  </r>
  <r>
    <n v="496"/>
    <x v="5"/>
    <x v="2"/>
    <n v="52.658984799999999"/>
    <n v="545.25314360000004"/>
    <n v="414.2200373"/>
    <n v="114.5672876"/>
    <n v="31.797679720000001"/>
    <x v="0"/>
    <x v="489"/>
    <x v="4"/>
  </r>
  <r>
    <n v="497"/>
    <x v="2"/>
    <x v="2"/>
    <n v="58.375627029999997"/>
    <n v="359.95804399999997"/>
    <n v="415.41165769999998"/>
    <n v="237.3536422"/>
    <n v="16.978265319999998"/>
    <x v="2"/>
    <x v="490"/>
    <x v="2"/>
  </r>
  <r>
    <n v="498"/>
    <x v="1"/>
    <x v="3"/>
    <n v="41.86354644"/>
    <n v="520.67747799999995"/>
    <n v="463.69743399999999"/>
    <n v="269.92955019999999"/>
    <n v="27.372707930000001"/>
    <x v="1"/>
    <x v="491"/>
    <x v="1"/>
  </r>
  <r>
    <n v="499"/>
    <x v="4"/>
    <x v="1"/>
    <n v="62.137314379999999"/>
    <n v="641.70204130000002"/>
    <n v="514.34337110000001"/>
    <n v="277.86884090000001"/>
    <n v="26.511917749999999"/>
    <x v="1"/>
    <x v="492"/>
    <x v="4"/>
  </r>
  <r>
    <n v="500"/>
    <x v="5"/>
    <x v="0"/>
    <n v="48.599571480000002"/>
    <n v="568.13395030000004"/>
    <n v="180.1807695"/>
    <n v="226.01898629999999"/>
    <n v="25.22972773"/>
    <x v="0"/>
    <x v="493"/>
    <x v="4"/>
  </r>
  <r>
    <n v="501"/>
    <x v="0"/>
    <x v="0"/>
    <n v="58.8859888"/>
    <n v="515.4336687"/>
    <n v="194.82805719999999"/>
    <n v="147.1301071"/>
    <n v="27.924123590000001"/>
    <x v="0"/>
    <x v="494"/>
    <x v="0"/>
  </r>
  <r>
    <n v="502"/>
    <x v="5"/>
    <x v="1"/>
    <n v="50.539879999999997"/>
    <n v="671.19371960000001"/>
    <n v="439.35703919999997"/>
    <n v="231.499042"/>
    <n v="24.368808959999999"/>
    <x v="1"/>
    <x v="495"/>
    <x v="4"/>
  </r>
  <r>
    <n v="503"/>
    <x v="3"/>
    <x v="3"/>
    <n v="39.611981720000003"/>
    <n v="481.49592769999998"/>
    <n v="456.26771459999998"/>
    <n v="156.5373822"/>
    <n v="31.076103660000001"/>
    <x v="2"/>
    <x v="496"/>
    <x v="3"/>
  </r>
  <r>
    <n v="504"/>
    <x v="1"/>
    <x v="3"/>
    <n v="55.029004049999998"/>
    <n v="438.04443250000003"/>
    <n v="502.69334600000002"/>
    <n v="182.85174169999999"/>
    <n v="33.832756770000003"/>
    <x v="2"/>
    <x v="497"/>
    <x v="1"/>
  </r>
  <r>
    <n v="505"/>
    <x v="2"/>
    <x v="2"/>
    <n v="53.262746710000002"/>
    <n v="515.38319160000003"/>
    <n v="392.6793174"/>
    <n v="219.15410790000001"/>
    <n v="33.401918690000002"/>
    <x v="0"/>
    <x v="498"/>
    <x v="2"/>
  </r>
  <r>
    <n v="506"/>
    <x v="2"/>
    <x v="2"/>
    <n v="50.30311657"/>
    <n v="576.64673679999999"/>
    <n v="481.13582330000003"/>
    <n v="159.76203269999999"/>
    <n v="29.31044374"/>
    <x v="0"/>
    <x v="499"/>
    <x v="2"/>
  </r>
  <r>
    <n v="507"/>
    <x v="2"/>
    <x v="4"/>
    <n v="49.056282500000002"/>
    <n v="328.22059039999999"/>
    <n v="495.18278459999999"/>
    <n v="142.67998470000001"/>
    <n v="39.996198479999997"/>
    <x v="0"/>
    <x v="500"/>
    <x v="2"/>
  </r>
  <r>
    <n v="508"/>
    <x v="1"/>
    <x v="4"/>
    <n v="49.141067499999998"/>
    <n v="528.48686429999998"/>
    <n v="391.85302840000003"/>
    <n v="223.28866590000001"/>
    <n v="35.699875570000003"/>
    <x v="1"/>
    <x v="501"/>
    <x v="1"/>
  </r>
  <r>
    <n v="509"/>
    <x v="1"/>
    <x v="2"/>
    <n v="58.12689426"/>
    <n v="581.0345016"/>
    <n v="601.6146986"/>
    <n v="293.36121020000002"/>
    <n v="29.492208980000001"/>
    <x v="2"/>
    <x v="502"/>
    <x v="1"/>
  </r>
  <r>
    <n v="510"/>
    <x v="1"/>
    <x v="0"/>
    <n v="55.779105139999999"/>
    <n v="473.03583750000001"/>
    <n v="501.23835739999998"/>
    <n v="262.16171650000001"/>
    <n v="27.58863895"/>
    <x v="2"/>
    <x v="503"/>
    <x v="1"/>
  </r>
  <r>
    <n v="511"/>
    <x v="2"/>
    <x v="2"/>
    <n v="50.304788500000001"/>
    <n v="610.69647659999998"/>
    <n v="545.63533150000001"/>
    <n v="235.35930930000001"/>
    <n v="36.690135810000001"/>
    <x v="2"/>
    <x v="504"/>
    <x v="2"/>
  </r>
  <r>
    <n v="512"/>
    <x v="0"/>
    <x v="3"/>
    <n v="35.080638540000002"/>
    <n v="564.11866620000001"/>
    <n v="488.2614878"/>
    <n v="248.95927180000001"/>
    <n v="35.037903409999998"/>
    <x v="2"/>
    <x v="505"/>
    <x v="0"/>
  </r>
  <r>
    <n v="513"/>
    <x v="1"/>
    <x v="1"/>
    <n v="54.944434139999998"/>
    <n v="714.13831189999996"/>
    <n v="732.44077240000001"/>
    <n v="231.88597490000001"/>
    <n v="22.947863980000001"/>
    <x v="2"/>
    <x v="506"/>
    <x v="1"/>
  </r>
  <r>
    <n v="514"/>
    <x v="5"/>
    <x v="3"/>
    <n v="57.236136190000003"/>
    <n v="503.25760000000002"/>
    <n v="551.56764829999997"/>
    <n v="222.4950115"/>
    <n v="35.429106599999997"/>
    <x v="1"/>
    <x v="507"/>
    <x v="4"/>
  </r>
  <r>
    <n v="515"/>
    <x v="2"/>
    <x v="0"/>
    <n v="73.00410085"/>
    <n v="583.07098499999995"/>
    <n v="421.44080209999998"/>
    <n v="244.930892"/>
    <n v="29.228132330000001"/>
    <x v="0"/>
    <x v="508"/>
    <x v="2"/>
  </r>
  <r>
    <n v="516"/>
    <x v="1"/>
    <x v="4"/>
    <n v="60.754330629999998"/>
    <n v="398.26760919999998"/>
    <n v="578.51602609999998"/>
    <n v="131.58184539999999"/>
    <n v="25.69544235"/>
    <x v="1"/>
    <x v="509"/>
    <x v="1"/>
  </r>
  <r>
    <n v="517"/>
    <x v="5"/>
    <x v="3"/>
    <n v="31.008236119999999"/>
    <n v="338.46335490000001"/>
    <n v="283.48740989999999"/>
    <n v="209.974265"/>
    <n v="20.103970700000001"/>
    <x v="1"/>
    <x v="510"/>
    <x v="4"/>
  </r>
  <r>
    <n v="518"/>
    <x v="0"/>
    <x v="2"/>
    <n v="50.784293990000002"/>
    <n v="296.44691569999998"/>
    <n v="494.35203150000001"/>
    <n v="195.9525897"/>
    <n v="28.655419030000001"/>
    <x v="2"/>
    <x v="511"/>
    <x v="0"/>
  </r>
  <r>
    <n v="520"/>
    <x v="0"/>
    <x v="4"/>
    <n v="56.235488570000001"/>
    <n v="518.4247914"/>
    <n v="495.72249140000002"/>
    <n v="176.93138930000001"/>
    <n v="37.936638270000003"/>
    <x v="1"/>
    <x v="512"/>
    <x v="0"/>
  </r>
  <r>
    <n v="521"/>
    <x v="1"/>
    <x v="1"/>
    <n v="53.2865216"/>
    <n v="452.09489430000002"/>
    <n v="439.94653549999998"/>
    <n v="226.02439219999999"/>
    <n v="34.786169039999997"/>
    <x v="0"/>
    <x v="513"/>
    <x v="1"/>
  </r>
  <r>
    <n v="522"/>
    <x v="2"/>
    <x v="4"/>
    <n v="59.002286589999997"/>
    <n v="322.64956660000001"/>
    <n v="358.52719719999999"/>
    <n v="159.1035995"/>
    <n v="29.664100000000001"/>
    <x v="2"/>
    <x v="514"/>
    <x v="2"/>
  </r>
  <r>
    <n v="523"/>
    <x v="0"/>
    <x v="2"/>
    <n v="43.776218049999997"/>
    <n v="430.96133739999999"/>
    <n v="385.27835859999999"/>
    <n v="173.3072535"/>
    <n v="31.946711969999999"/>
    <x v="1"/>
    <x v="515"/>
    <x v="0"/>
  </r>
  <r>
    <n v="524"/>
    <x v="1"/>
    <x v="0"/>
    <n v="54.78089997"/>
    <n v="500.40930079999998"/>
    <n v="492.24898990000003"/>
    <n v="167.30600430000001"/>
    <n v="34.131247109999997"/>
    <x v="2"/>
    <x v="516"/>
    <x v="1"/>
  </r>
  <r>
    <n v="525"/>
    <x v="4"/>
    <x v="1"/>
    <n v="47.495319610000003"/>
    <n v="579.31693670000004"/>
    <n v="346.37769209999999"/>
    <n v="243.19733189999999"/>
    <n v="30.42978694"/>
    <x v="1"/>
    <x v="517"/>
    <x v="4"/>
  </r>
  <r>
    <n v="526"/>
    <x v="5"/>
    <x v="2"/>
    <n v="49.803765140000003"/>
    <n v="498.34642500000001"/>
    <n v="692.42011390000005"/>
    <n v="199.41382479999999"/>
    <n v="27.0642292"/>
    <x v="1"/>
    <x v="518"/>
    <x v="4"/>
  </r>
  <r>
    <n v="527"/>
    <x v="3"/>
    <x v="4"/>
    <n v="58.28454516"/>
    <n v="525.20603430000006"/>
    <n v="163.09227849999999"/>
    <n v="176.958383"/>
    <n v="27.33913772"/>
    <x v="2"/>
    <x v="519"/>
    <x v="3"/>
  </r>
  <r>
    <n v="528"/>
    <x v="2"/>
    <x v="2"/>
    <n v="40.732868979999999"/>
    <n v="462.38676190000001"/>
    <n v="441.18745589999997"/>
    <n v="181.3285152"/>
    <n v="31.927365349999999"/>
    <x v="1"/>
    <x v="520"/>
    <x v="2"/>
  </r>
  <r>
    <n v="529"/>
    <x v="0"/>
    <x v="0"/>
    <n v="62.879824739999997"/>
    <n v="674.9224203"/>
    <n v="493.24675669999999"/>
    <n v="200.19403080000001"/>
    <n v="32.064902830000001"/>
    <x v="1"/>
    <x v="521"/>
    <x v="0"/>
  </r>
  <r>
    <n v="530"/>
    <x v="3"/>
    <x v="2"/>
    <n v="45.77188039"/>
    <n v="398.1750356"/>
    <n v="540.89051129999996"/>
    <n v="281.10874589999997"/>
    <n v="28.535226919999999"/>
    <x v="0"/>
    <x v="522"/>
    <x v="3"/>
  </r>
  <r>
    <n v="531"/>
    <x v="1"/>
    <x v="2"/>
    <n v="263.03314169999999"/>
    <n v="1720.304713"/>
    <n v="370.08903270000002"/>
    <n v="138.17398320000001"/>
    <n v="16.904238970000002"/>
    <x v="1"/>
    <x v="523"/>
    <x v="1"/>
  </r>
  <r>
    <n v="532"/>
    <x v="4"/>
    <x v="2"/>
    <n v="35.994920399999998"/>
    <n v="450.7641926"/>
    <n v="616.11537529999998"/>
    <n v="233.7754999"/>
    <n v="23.547386360000001"/>
    <x v="1"/>
    <x v="524"/>
    <x v="4"/>
  </r>
  <r>
    <n v="533"/>
    <x v="0"/>
    <x v="4"/>
    <n v="57.198372910000003"/>
    <n v="554.27043979999996"/>
    <n v="312.74027469999999"/>
    <n v="223.59311690000001"/>
    <n v="33.098444610000001"/>
    <x v="0"/>
    <x v="525"/>
    <x v="0"/>
  </r>
  <r>
    <n v="534"/>
    <x v="4"/>
    <x v="4"/>
    <n v="64.465039360000006"/>
    <n v="396.11402099999998"/>
    <n v="412.06456939999998"/>
    <n v="155.8517301"/>
    <n v="19.345810010000001"/>
    <x v="1"/>
    <x v="526"/>
    <x v="4"/>
  </r>
  <r>
    <n v="535"/>
    <x v="2"/>
    <x v="1"/>
    <n v="44.853584509999997"/>
    <n v="513.57185909999998"/>
    <n v="554.48970659999998"/>
    <n v="273.34366449999999"/>
    <n v="35.920905079999997"/>
    <x v="0"/>
    <x v="527"/>
    <x v="2"/>
  </r>
  <r>
    <n v="536"/>
    <x v="4"/>
    <x v="4"/>
    <n v="38.897766130000001"/>
    <n v="516.49101429999996"/>
    <n v="604.82262779999996"/>
    <n v="226.9640225"/>
    <n v="35.180786310000002"/>
    <x v="0"/>
    <x v="528"/>
    <x v="4"/>
  </r>
  <r>
    <n v="537"/>
    <x v="2"/>
    <x v="3"/>
    <n v="52.779830650000001"/>
    <n v="430.5642029"/>
    <n v="311.51984440000001"/>
    <n v="174.61333479999999"/>
    <n v="30.20548191"/>
    <x v="0"/>
    <x v="529"/>
    <x v="2"/>
  </r>
  <r>
    <n v="538"/>
    <x v="5"/>
    <x v="0"/>
    <n v="194.7333142"/>
    <n v="532.99794610000004"/>
    <n v="797.40441480000004"/>
    <n v="107.0293337"/>
    <n v="32.989655169999999"/>
    <x v="1"/>
    <x v="530"/>
    <x v="4"/>
  </r>
  <r>
    <n v="539"/>
    <x v="0"/>
    <x v="0"/>
    <n v="35.501434349999997"/>
    <n v="399.21861009999998"/>
    <n v="372.30101239999999"/>
    <n v="211.4573417"/>
    <n v="32.643873390000003"/>
    <x v="2"/>
    <x v="531"/>
    <x v="0"/>
  </r>
  <r>
    <n v="540"/>
    <x v="0"/>
    <x v="2"/>
    <n v="38.93691819"/>
    <n v="388.29258579999998"/>
    <n v="322.53810270000002"/>
    <n v="197.76272080000001"/>
    <n v="29.415634359999999"/>
    <x v="1"/>
    <x v="532"/>
    <x v="0"/>
  </r>
  <r>
    <n v="541"/>
    <x v="2"/>
    <x v="2"/>
    <n v="45.458104419999998"/>
    <n v="509.96057569999999"/>
    <n v="540.32578699999999"/>
    <n v="148.46435339999999"/>
    <n v="23.130554409999998"/>
    <x v="0"/>
    <x v="533"/>
    <x v="2"/>
  </r>
  <r>
    <n v="542"/>
    <x v="1"/>
    <x v="0"/>
    <n v="41.796561750000002"/>
    <n v="334.02444150000002"/>
    <n v="438.20478559999998"/>
    <n v="147.81927949999999"/>
    <n v="34.836364879999998"/>
    <x v="2"/>
    <x v="534"/>
    <x v="1"/>
  </r>
  <r>
    <n v="543"/>
    <x v="2"/>
    <x v="2"/>
    <n v="41.828145329999998"/>
    <n v="285.51972970000003"/>
    <n v="480.48430000000002"/>
    <n v="243.42549339999999"/>
    <n v="37.036150059999997"/>
    <x v="2"/>
    <x v="535"/>
    <x v="2"/>
  </r>
  <r>
    <n v="544"/>
    <x v="2"/>
    <x v="1"/>
    <n v="29.058793720000001"/>
    <n v="553.28333009999994"/>
    <n v="551.47728689999997"/>
    <n v="102.21525459999999"/>
    <n v="23.957047379999999"/>
    <x v="0"/>
    <x v="536"/>
    <x v="2"/>
  </r>
  <r>
    <n v="545"/>
    <x v="4"/>
    <x v="4"/>
    <n v="279.4528474"/>
    <n v="2419.5879770000001"/>
    <n v="296.72451710000001"/>
    <n v="215.7141378"/>
    <n v="22.943724970000002"/>
    <x v="2"/>
    <x v="537"/>
    <x v="4"/>
  </r>
  <r>
    <n v="546"/>
    <x v="4"/>
    <x v="0"/>
    <n v="53.387205029999997"/>
    <n v="453.31968810000001"/>
    <n v="480.48430000000002"/>
    <n v="190.62815119999999"/>
    <n v="29.316015480000001"/>
    <x v="2"/>
    <x v="538"/>
    <x v="4"/>
  </r>
  <r>
    <n v="547"/>
    <x v="2"/>
    <x v="4"/>
    <n v="33.011507999999999"/>
    <n v="433.19293479999999"/>
    <n v="408.30919619999997"/>
    <n v="224.85774140000001"/>
    <n v="26.868877019999999"/>
    <x v="1"/>
    <x v="539"/>
    <x v="2"/>
  </r>
  <r>
    <n v="548"/>
    <x v="0"/>
    <x v="0"/>
    <n v="64.571957600000005"/>
    <n v="600.55352259999995"/>
    <n v="609.34820869999999"/>
    <n v="185.2847495"/>
    <n v="29.664100000000001"/>
    <x v="2"/>
    <x v="540"/>
    <x v="0"/>
  </r>
  <r>
    <n v="549"/>
    <x v="4"/>
    <x v="3"/>
    <n v="66.810923149999994"/>
    <n v="385.44617820000002"/>
    <n v="413.51336479999998"/>
    <n v="214.66374830000001"/>
    <n v="36.039970199999999"/>
    <x v="0"/>
    <x v="541"/>
    <x v="4"/>
  </r>
  <r>
    <n v="550"/>
    <x v="5"/>
    <x v="2"/>
    <n v="42.490944499999998"/>
    <n v="363.66273749999999"/>
    <n v="671.89880210000001"/>
    <n v="162.8612578"/>
    <n v="18.771647810000001"/>
    <x v="2"/>
    <x v="542"/>
    <x v="4"/>
  </r>
  <r>
    <n v="551"/>
    <x v="5"/>
    <x v="4"/>
    <n v="61.665485910000001"/>
    <n v="570.76364239999998"/>
    <n v="624.12177129999998"/>
    <n v="197.5397542"/>
    <n v="37.906359760000001"/>
    <x v="2"/>
    <x v="543"/>
    <x v="4"/>
  </r>
  <r>
    <n v="552"/>
    <x v="2"/>
    <x v="0"/>
    <n v="44.27002195"/>
    <n v="500.90381869999999"/>
    <n v="513.95354210000005"/>
    <n v="224.45419390000001"/>
    <n v="27.966657789999999"/>
    <x v="2"/>
    <x v="544"/>
    <x v="2"/>
  </r>
  <r>
    <n v="553"/>
    <x v="2"/>
    <x v="2"/>
    <n v="51.811165099999997"/>
    <n v="606.4876739"/>
    <n v="520.76686310000002"/>
    <n v="207.54359360000001"/>
    <n v="32.558894889999998"/>
    <x v="0"/>
    <x v="545"/>
    <x v="2"/>
  </r>
  <r>
    <n v="554"/>
    <x v="2"/>
    <x v="2"/>
    <n v="41.642378649999998"/>
    <n v="285.97341210000002"/>
    <n v="513.84031500000003"/>
    <n v="219.0153421"/>
    <n v="33.093629190000001"/>
    <x v="2"/>
    <x v="546"/>
    <x v="2"/>
  </r>
  <r>
    <n v="555"/>
    <x v="2"/>
    <x v="2"/>
    <n v="72.142515230000001"/>
    <n v="359.93260090000001"/>
    <n v="499.16612739999999"/>
    <n v="153.60393500000001"/>
    <n v="33.676705769999998"/>
    <x v="1"/>
    <x v="547"/>
    <x v="2"/>
  </r>
  <r>
    <n v="556"/>
    <x v="2"/>
    <x v="4"/>
    <n v="47.039827729999999"/>
    <n v="501.43320599999998"/>
    <n v="436.05099630000001"/>
    <n v="170.46627190000001"/>
    <n v="30.309540519999999"/>
    <x v="0"/>
    <x v="548"/>
    <x v="2"/>
  </r>
  <r>
    <n v="557"/>
    <x v="0"/>
    <x v="0"/>
    <n v="51.26449023"/>
    <n v="541.76736979999998"/>
    <n v="449.97746000000001"/>
    <n v="171.33300800000001"/>
    <n v="31.477803009999999"/>
    <x v="0"/>
    <x v="549"/>
    <x v="0"/>
  </r>
  <r>
    <n v="558"/>
    <x v="0"/>
    <x v="3"/>
    <n v="43.120626129999998"/>
    <n v="584.69970880000005"/>
    <n v="351.60478119999999"/>
    <n v="186.17551219999999"/>
    <n v="31.445110249999999"/>
    <x v="0"/>
    <x v="550"/>
    <x v="0"/>
  </r>
  <r>
    <n v="559"/>
    <x v="2"/>
    <x v="2"/>
    <n v="68.613155969999994"/>
    <n v="517.4817769"/>
    <n v="480.48430000000002"/>
    <n v="267.92914350000001"/>
    <n v="26.848586000000001"/>
    <x v="2"/>
    <x v="551"/>
    <x v="2"/>
  </r>
  <r>
    <n v="560"/>
    <x v="5"/>
    <x v="0"/>
    <n v="68.866146459999996"/>
    <n v="516.46551550000004"/>
    <n v="612.48847309999996"/>
    <n v="182.2910622"/>
    <n v="21.209724040000001"/>
    <x v="2"/>
    <x v="552"/>
    <x v="4"/>
  </r>
  <r>
    <n v="561"/>
    <x v="2"/>
    <x v="4"/>
    <n v="66.309291810000005"/>
    <n v="461.05984569999998"/>
    <n v="498.87101239999998"/>
    <n v="142.82202699999999"/>
    <n v="23.904070860000001"/>
    <x v="2"/>
    <x v="553"/>
    <x v="2"/>
  </r>
  <r>
    <n v="562"/>
    <x v="0"/>
    <x v="2"/>
    <n v="59.564403480000003"/>
    <n v="659.09049049999999"/>
    <n v="480.74536269999999"/>
    <n v="227.08228439999999"/>
    <n v="29.4788101"/>
    <x v="1"/>
    <x v="554"/>
    <x v="0"/>
  </r>
  <r>
    <n v="563"/>
    <x v="3"/>
    <x v="1"/>
    <n v="43.752104529999997"/>
    <n v="389.6976545"/>
    <n v="527.81389469999999"/>
    <n v="267.33217159999998"/>
    <n v="26.065966719999999"/>
    <x v="1"/>
    <x v="555"/>
    <x v="3"/>
  </r>
  <r>
    <n v="564"/>
    <x v="1"/>
    <x v="2"/>
    <n v="58.278500960000002"/>
    <n v="535.90201530000002"/>
    <n v="380.59230539999999"/>
    <n v="136.93940739999999"/>
    <n v="26.077519639999998"/>
    <x v="0"/>
    <x v="556"/>
    <x v="1"/>
  </r>
  <r>
    <n v="565"/>
    <x v="4"/>
    <x v="4"/>
    <n v="49.929572010000001"/>
    <n v="401.21911649999998"/>
    <n v="359.87253440000001"/>
    <n v="199.07849999999999"/>
    <n v="38.996255230000003"/>
    <x v="0"/>
    <x v="557"/>
    <x v="4"/>
  </r>
  <r>
    <n v="566"/>
    <x v="3"/>
    <x v="1"/>
    <n v="63.124086220000002"/>
    <n v="553.4778546"/>
    <n v="445.9578368"/>
    <n v="220.75883010000001"/>
    <n v="34.294473979999999"/>
    <x v="2"/>
    <x v="558"/>
    <x v="3"/>
  </r>
  <r>
    <n v="567"/>
    <x v="2"/>
    <x v="0"/>
    <n v="61.159020529999999"/>
    <n v="396.29824309999998"/>
    <n v="644.17181779999999"/>
    <n v="251.69453949999999"/>
    <n v="28.739620169999998"/>
    <x v="0"/>
    <x v="559"/>
    <x v="2"/>
  </r>
  <r>
    <n v="568"/>
    <x v="0"/>
    <x v="3"/>
    <n v="43.50734422"/>
    <n v="574.38156990000004"/>
    <n v="339.75107659999998"/>
    <n v="273.35358179999997"/>
    <n v="33.360174729999997"/>
    <x v="0"/>
    <x v="560"/>
    <x v="0"/>
  </r>
  <r>
    <n v="569"/>
    <x v="2"/>
    <x v="2"/>
    <n v="59.478258029999999"/>
    <n v="511.21049470000003"/>
    <n v="164.7521572"/>
    <n v="248.63088210000001"/>
    <n v="27.898656970000001"/>
    <x v="2"/>
    <x v="561"/>
    <x v="2"/>
  </r>
  <r>
    <n v="570"/>
    <x v="2"/>
    <x v="2"/>
    <n v="56.820344499999997"/>
    <n v="674.46391730000005"/>
    <n v="417.43186900000001"/>
    <n v="194.47322009999999"/>
    <n v="30.553617169999999"/>
    <x v="0"/>
    <x v="562"/>
    <x v="2"/>
  </r>
  <r>
    <n v="571"/>
    <x v="5"/>
    <x v="2"/>
    <n v="22.264371369999999"/>
    <n v="471.8980353"/>
    <n v="617.12398989999997"/>
    <n v="260.88490719999999"/>
    <n v="32.208143239999998"/>
    <x v="1"/>
    <x v="563"/>
    <x v="4"/>
  </r>
  <r>
    <n v="572"/>
    <x v="1"/>
    <x v="0"/>
    <n v="58.009366399999998"/>
    <n v="542.49661160000005"/>
    <n v="272.09471710000003"/>
    <n v="212.72998849999999"/>
    <n v="27.911970159999999"/>
    <x v="2"/>
    <x v="564"/>
    <x v="1"/>
  </r>
  <r>
    <n v="573"/>
    <x v="2"/>
    <x v="4"/>
    <n v="45.682042109999998"/>
    <n v="422.03437200000002"/>
    <n v="338.36596750000001"/>
    <n v="254.52423619999999"/>
    <n v="26.573747260000001"/>
    <x v="1"/>
    <x v="565"/>
    <x v="2"/>
  </r>
  <r>
    <n v="574"/>
    <x v="0"/>
    <x v="2"/>
    <n v="41.139575460000003"/>
    <n v="471.21069940000001"/>
    <n v="511.62560889999997"/>
    <n v="259.99377420000002"/>
    <n v="36.119659089999999"/>
    <x v="1"/>
    <x v="566"/>
    <x v="0"/>
  </r>
  <r>
    <n v="575"/>
    <x v="2"/>
    <x v="0"/>
    <n v="41.567393959999997"/>
    <n v="510.57494789999998"/>
    <n v="788.38884429999996"/>
    <n v="145.45517050000001"/>
    <n v="33.070564840000003"/>
    <x v="2"/>
    <x v="567"/>
    <x v="2"/>
  </r>
  <r>
    <n v="576"/>
    <x v="5"/>
    <x v="2"/>
    <n v="48.647571040000003"/>
    <n v="347.27800780000001"/>
    <n v="317.01459979999998"/>
    <n v="239.7150566"/>
    <n v="18.726945610000001"/>
    <x v="1"/>
    <x v="568"/>
    <x v="4"/>
  </r>
  <r>
    <n v="577"/>
    <x v="5"/>
    <x v="3"/>
    <n v="54.800595800000004"/>
    <n v="358.23760659999999"/>
    <n v="312.367909"/>
    <n v="190.9054041"/>
    <n v="26.659320350000002"/>
    <x v="1"/>
    <x v="569"/>
    <x v="4"/>
  </r>
  <r>
    <n v="578"/>
    <x v="5"/>
    <x v="4"/>
    <n v="147.28361659999999"/>
    <n v="559.98593000000005"/>
    <n v="520.64380430000006"/>
    <n v="206.9095318"/>
    <n v="26.0936375"/>
    <x v="2"/>
    <x v="570"/>
    <x v="4"/>
  </r>
  <r>
    <n v="579"/>
    <x v="1"/>
    <x v="0"/>
    <n v="51.898478359999999"/>
    <n v="485.39131780000002"/>
    <n v="624.56093280000005"/>
    <n v="206.3546374"/>
    <n v="26.89430956"/>
    <x v="2"/>
    <x v="571"/>
    <x v="1"/>
  </r>
  <r>
    <n v="580"/>
    <x v="2"/>
    <x v="4"/>
    <n v="55.76758066"/>
    <n v="440.70734670000002"/>
    <n v="405.10815450000001"/>
    <n v="204.34851090000001"/>
    <n v="34.312011439999999"/>
    <x v="1"/>
    <x v="572"/>
    <x v="2"/>
  </r>
  <r>
    <n v="581"/>
    <x v="1"/>
    <x v="0"/>
    <n v="68.618057840000006"/>
    <n v="426.30138199999999"/>
    <n v="285.43270130000002"/>
    <n v="276.17626560000002"/>
    <n v="30.09602984"/>
    <x v="2"/>
    <x v="573"/>
    <x v="1"/>
  </r>
  <r>
    <n v="582"/>
    <x v="4"/>
    <x v="3"/>
    <n v="39.233098310000003"/>
    <n v="430.15112040000002"/>
    <n v="532.04990650000002"/>
    <n v="131.67761870000001"/>
    <n v="23.05185165"/>
    <x v="1"/>
    <x v="574"/>
    <x v="4"/>
  </r>
  <r>
    <n v="583"/>
    <x v="4"/>
    <x v="4"/>
    <n v="46.503878129999997"/>
    <n v="511.25507149999999"/>
    <n v="553.78096770000002"/>
    <n v="113.8828322"/>
    <n v="28.083925820000001"/>
    <x v="1"/>
    <x v="575"/>
    <x v="4"/>
  </r>
  <r>
    <n v="584"/>
    <x v="2"/>
    <x v="1"/>
    <n v="52.61662973"/>
    <n v="544.50358640000002"/>
    <n v="693.43861519999996"/>
    <n v="103.3354964"/>
    <n v="32.708688240000001"/>
    <x v="2"/>
    <x v="576"/>
    <x v="2"/>
  </r>
  <r>
    <n v="585"/>
    <x v="0"/>
    <x v="2"/>
    <n v="61.4740933"/>
    <n v="290.78927700000003"/>
    <n v="558.83365349999997"/>
    <n v="253.45721320000001"/>
    <n v="28.901774920000001"/>
    <x v="1"/>
    <x v="577"/>
    <x v="0"/>
  </r>
  <r>
    <n v="586"/>
    <x v="1"/>
    <x v="1"/>
    <n v="46.957761189999999"/>
    <n v="641.2834057"/>
    <n v="579.36792920000005"/>
    <n v="161.3281254"/>
    <n v="26.77662024"/>
    <x v="1"/>
    <x v="578"/>
    <x v="1"/>
  </r>
  <r>
    <n v="587"/>
    <x v="2"/>
    <x v="2"/>
    <n v="61.986413720000002"/>
    <n v="634.17007630000001"/>
    <n v="448.54258270000003"/>
    <n v="206.60932349999999"/>
    <n v="31.656096389999998"/>
    <x v="2"/>
    <x v="579"/>
    <x v="2"/>
  </r>
  <r>
    <n v="588"/>
    <x v="5"/>
    <x v="3"/>
    <n v="30.626376839999999"/>
    <n v="266.93452359999998"/>
    <n v="772.98052110000003"/>
    <n v="194.2641438"/>
    <n v="38.090962449999999"/>
    <x v="0"/>
    <x v="580"/>
    <x v="4"/>
  </r>
  <r>
    <n v="589"/>
    <x v="5"/>
    <x v="1"/>
    <n v="37.466518069999999"/>
    <n v="608.59266960000002"/>
    <n v="432.22295869999999"/>
    <n v="155.68124299999999"/>
    <n v="32.307124160000001"/>
    <x v="2"/>
    <x v="581"/>
    <x v="4"/>
  </r>
  <r>
    <n v="590"/>
    <x v="2"/>
    <x v="0"/>
    <n v="53.486443440000002"/>
    <n v="605.52188509999996"/>
    <n v="406.56934539999997"/>
    <n v="242.5738619"/>
    <n v="36.504707570000001"/>
    <x v="1"/>
    <x v="582"/>
    <x v="2"/>
  </r>
  <r>
    <n v="591"/>
    <x v="0"/>
    <x v="2"/>
    <n v="35.891755019999998"/>
    <n v="500.04454939999999"/>
    <n v="697.14179019999995"/>
    <n v="193.62685160000001"/>
    <n v="27.11192891"/>
    <x v="2"/>
    <x v="583"/>
    <x v="0"/>
  </r>
  <r>
    <n v="592"/>
    <x v="4"/>
    <x v="2"/>
    <n v="50.539879999999997"/>
    <n v="370.28313780000002"/>
    <n v="303.09152649999999"/>
    <n v="188.1132461"/>
    <n v="29.958189440000002"/>
    <x v="1"/>
    <x v="584"/>
    <x v="4"/>
  </r>
  <r>
    <n v="593"/>
    <x v="4"/>
    <x v="1"/>
    <n v="44.722231360000002"/>
    <n v="601.52280919999998"/>
    <n v="258.31099390000003"/>
    <n v="211.6435654"/>
    <n v="29.85724008"/>
    <x v="1"/>
    <x v="585"/>
    <x v="4"/>
  </r>
  <r>
    <n v="594"/>
    <x v="5"/>
    <x v="1"/>
    <n v="57.714389920000002"/>
    <n v="475.87689339999997"/>
    <n v="494.34683100000001"/>
    <n v="236.03860420000001"/>
    <n v="30.59339542"/>
    <x v="0"/>
    <x v="586"/>
    <x v="4"/>
  </r>
  <r>
    <n v="595"/>
    <x v="2"/>
    <x v="3"/>
    <n v="31.04035159"/>
    <n v="554.88788439999996"/>
    <n v="479.79161720000002"/>
    <n v="152.05118780000001"/>
    <n v="32.202598029999997"/>
    <x v="1"/>
    <x v="587"/>
    <x v="2"/>
  </r>
  <r>
    <n v="596"/>
    <x v="1"/>
    <x v="2"/>
    <n v="51.702983619999998"/>
    <n v="721.92012720000002"/>
    <n v="452.65344219999997"/>
    <n v="243.6459174"/>
    <n v="25.40515439"/>
    <x v="2"/>
    <x v="588"/>
    <x v="1"/>
  </r>
  <r>
    <n v="597"/>
    <x v="4"/>
    <x v="1"/>
    <n v="301.64819740000002"/>
    <n v="2100.7347"/>
    <n v="599.27157090000003"/>
    <n v="272.49267600000002"/>
    <n v="33.23666343"/>
    <x v="1"/>
    <x v="589"/>
    <x v="4"/>
  </r>
  <r>
    <n v="598"/>
    <x v="1"/>
    <x v="1"/>
    <n v="48.05054792"/>
    <n v="408.31153080000001"/>
    <n v="371.01525809999998"/>
    <n v="128.6938816"/>
    <n v="21.86057031"/>
    <x v="2"/>
    <x v="590"/>
    <x v="1"/>
  </r>
  <r>
    <n v="599"/>
    <x v="0"/>
    <x v="4"/>
    <n v="46.311697700000003"/>
    <n v="466.42690049999999"/>
    <n v="487.70005509999999"/>
    <n v="199.07849999999999"/>
    <n v="23.32121669"/>
    <x v="1"/>
    <x v="591"/>
    <x v="0"/>
  </r>
  <r>
    <n v="600"/>
    <x v="4"/>
    <x v="0"/>
    <n v="54.017712830000001"/>
    <n v="421.05546399999997"/>
    <n v="436.78728569999998"/>
    <n v="184.75388939999999"/>
    <n v="40.678130510000003"/>
    <x v="2"/>
    <x v="592"/>
    <x v="4"/>
  </r>
  <r>
    <n v="601"/>
    <x v="4"/>
    <x v="4"/>
    <n v="48.07888947"/>
    <n v="543.34897169999999"/>
    <n v="373.05378000000002"/>
    <n v="234.96152900000001"/>
    <n v="27.4493963"/>
    <x v="0"/>
    <x v="593"/>
    <x v="4"/>
  </r>
  <r>
    <n v="602"/>
    <x v="3"/>
    <x v="4"/>
    <n v="63.904997809999998"/>
    <n v="419.3932441"/>
    <n v="472.57918990000002"/>
    <n v="139.16703939999999"/>
    <n v="33.647596749999998"/>
    <x v="1"/>
    <x v="594"/>
    <x v="3"/>
  </r>
  <r>
    <n v="603"/>
    <x v="4"/>
    <x v="2"/>
    <n v="38.885869880000001"/>
    <n v="452.7148578"/>
    <n v="582.31149640000001"/>
    <n v="281.44691130000001"/>
    <n v="38.491451959999999"/>
    <x v="2"/>
    <x v="595"/>
    <x v="4"/>
  </r>
  <r>
    <n v="604"/>
    <x v="2"/>
    <x v="2"/>
    <n v="49.483558449999997"/>
    <n v="371.55696260000002"/>
    <n v="734.46817450000003"/>
    <n v="119.6052597"/>
    <n v="18.42771961"/>
    <x v="1"/>
    <x v="596"/>
    <x v="2"/>
  </r>
  <r>
    <n v="605"/>
    <x v="2"/>
    <x v="0"/>
    <n v="52.056863749999998"/>
    <n v="486.79129940000001"/>
    <n v="549.53027789999999"/>
    <n v="187.78595300000001"/>
    <n v="35.631230899999998"/>
    <x v="1"/>
    <x v="597"/>
    <x v="2"/>
  </r>
  <r>
    <n v="606"/>
    <x v="2"/>
    <x v="3"/>
    <n v="46.21545948"/>
    <n v="517.67547930000001"/>
    <n v="178.69979979999999"/>
    <n v="221.7148038"/>
    <n v="33.244718030000001"/>
    <x v="1"/>
    <x v="598"/>
    <x v="2"/>
  </r>
  <r>
    <n v="607"/>
    <x v="1"/>
    <x v="3"/>
    <n v="21.287173370000001"/>
    <n v="231.52119529999999"/>
    <n v="475.42318970000002"/>
    <n v="165.68315770000001"/>
    <n v="38.201986400000003"/>
    <x v="1"/>
    <x v="599"/>
    <x v="1"/>
  </r>
  <r>
    <n v="608"/>
    <x v="0"/>
    <x v="1"/>
    <n v="48.390950920000002"/>
    <n v="525.95735609999997"/>
    <n v="485.97633489999998"/>
    <n v="199.07849999999999"/>
    <n v="24.092384190000001"/>
    <x v="0"/>
    <x v="600"/>
    <x v="0"/>
  </r>
  <r>
    <n v="609"/>
    <x v="4"/>
    <x v="1"/>
    <n v="59.001769869999997"/>
    <n v="495.42997689999999"/>
    <n v="592.34508110000002"/>
    <n v="211.11178179999999"/>
    <n v="37.256273280000002"/>
    <x v="1"/>
    <x v="601"/>
    <x v="4"/>
  </r>
  <r>
    <n v="610"/>
    <x v="2"/>
    <x v="3"/>
    <n v="57.781091859999997"/>
    <n v="423.50080509999998"/>
    <n v="502.1772363"/>
    <n v="203.88799599999999"/>
    <n v="29.664100000000001"/>
    <x v="1"/>
    <x v="602"/>
    <x v="2"/>
  </r>
  <r>
    <n v="611"/>
    <x v="1"/>
    <x v="1"/>
    <n v="53.547784819999997"/>
    <n v="702.86289239999996"/>
    <n v="630.37067009999998"/>
    <n v="200.2969085"/>
    <n v="35.273889070000003"/>
    <x v="2"/>
    <x v="603"/>
    <x v="1"/>
  </r>
  <r>
    <n v="612"/>
    <x v="3"/>
    <x v="2"/>
    <n v="39.021376420000003"/>
    <n v="595.84765279999999"/>
    <n v="527.00047389999997"/>
    <n v="242.9344256"/>
    <n v="29.819894819999998"/>
    <x v="1"/>
    <x v="604"/>
    <x v="3"/>
  </r>
  <r>
    <n v="613"/>
    <x v="1"/>
    <x v="4"/>
    <n v="53.953094620000002"/>
    <n v="390.35975139999999"/>
    <n v="667.05576829999995"/>
    <n v="180.27636530000001"/>
    <n v="33.853844029999998"/>
    <x v="1"/>
    <x v="605"/>
    <x v="1"/>
  </r>
  <r>
    <n v="615"/>
    <x v="4"/>
    <x v="2"/>
    <n v="53.53482906"/>
    <n v="624.44980759999999"/>
    <n v="497.32121610000002"/>
    <n v="174.6698596"/>
    <n v="20.802992079999999"/>
    <x v="2"/>
    <x v="606"/>
    <x v="4"/>
  </r>
  <r>
    <n v="616"/>
    <x v="3"/>
    <x v="1"/>
    <n v="51.21505011"/>
    <n v="513.2020923"/>
    <n v="579.19698419999997"/>
    <n v="157.53352570000001"/>
    <n v="14.39727989"/>
    <x v="1"/>
    <x v="607"/>
    <x v="3"/>
  </r>
  <r>
    <n v="617"/>
    <x v="1"/>
    <x v="0"/>
    <n v="40.236247290000001"/>
    <n v="536.14420370000005"/>
    <n v="411.3367116"/>
    <n v="185.76206859999999"/>
    <n v="31.049577670000001"/>
    <x v="2"/>
    <x v="608"/>
    <x v="1"/>
  </r>
  <r>
    <n v="618"/>
    <x v="2"/>
    <x v="2"/>
    <n v="41.075441609999999"/>
    <n v="533.83466669999996"/>
    <n v="385.19846380000001"/>
    <n v="175.06174060000001"/>
    <n v="28.68132481"/>
    <x v="1"/>
    <x v="609"/>
    <x v="2"/>
  </r>
  <r>
    <n v="619"/>
    <x v="2"/>
    <x v="0"/>
    <n v="50.539879999999997"/>
    <n v="291.41841410000001"/>
    <n v="404.47774800000002"/>
    <n v="177.5598099"/>
    <n v="31.991104759999999"/>
    <x v="0"/>
    <x v="610"/>
    <x v="2"/>
  </r>
  <r>
    <n v="620"/>
    <x v="2"/>
    <x v="0"/>
    <n v="47.788869050000002"/>
    <n v="481.31304030000001"/>
    <n v="390.09412589999999"/>
    <n v="258.26637090000003"/>
    <n v="28.73923267"/>
    <x v="1"/>
    <x v="611"/>
    <x v="2"/>
  </r>
  <r>
    <n v="621"/>
    <x v="3"/>
    <x v="2"/>
    <n v="41.597185690000003"/>
    <n v="476.10871580000003"/>
    <n v="542.70743049999999"/>
    <n v="187.29482730000001"/>
    <n v="40.090386909999999"/>
    <x v="0"/>
    <x v="612"/>
    <x v="3"/>
  </r>
  <r>
    <n v="622"/>
    <x v="3"/>
    <x v="2"/>
    <n v="40.771698100000002"/>
    <n v="503.25760000000002"/>
    <n v="259.82303639999998"/>
    <n v="166.85466640000001"/>
    <n v="31.152685640000001"/>
    <x v="0"/>
    <x v="613"/>
    <x v="3"/>
  </r>
  <r>
    <n v="623"/>
    <x v="2"/>
    <x v="2"/>
    <n v="46.961691520000002"/>
    <n v="533.3727864"/>
    <n v="293.2835968"/>
    <n v="201.4039387"/>
    <n v="27.76526136"/>
    <x v="2"/>
    <x v="614"/>
    <x v="2"/>
  </r>
  <r>
    <n v="624"/>
    <x v="1"/>
    <x v="2"/>
    <n v="65.681047950000007"/>
    <n v="470.2389038"/>
    <n v="703.52957909999998"/>
    <n v="205.21139700000001"/>
    <n v="31.686815330000002"/>
    <x v="1"/>
    <x v="615"/>
    <x v="1"/>
  </r>
  <r>
    <n v="625"/>
    <x v="3"/>
    <x v="2"/>
    <n v="124.4004589"/>
    <n v="490.98752589999998"/>
    <n v="392.98839349999997"/>
    <n v="140.65593849999999"/>
    <n v="27.85662602"/>
    <x v="1"/>
    <x v="616"/>
    <x v="3"/>
  </r>
  <r>
    <n v="626"/>
    <x v="2"/>
    <x v="2"/>
    <n v="49.859804619999998"/>
    <n v="602.33855819999997"/>
    <n v="504.00178210000001"/>
    <n v="185.07968640000001"/>
    <n v="30.46465117"/>
    <x v="2"/>
    <x v="617"/>
    <x v="2"/>
  </r>
  <r>
    <n v="627"/>
    <x v="2"/>
    <x v="2"/>
    <n v="51.01644288"/>
    <n v="481.5415337"/>
    <n v="301.30242989999999"/>
    <n v="183.06578379999999"/>
    <n v="23.912599060000002"/>
    <x v="1"/>
    <x v="618"/>
    <x v="2"/>
  </r>
  <r>
    <n v="628"/>
    <x v="4"/>
    <x v="1"/>
    <n v="38.689736089999997"/>
    <n v="430.1804467"/>
    <n v="491.29491209999998"/>
    <n v="191.39278630000001"/>
    <n v="29.957073990000001"/>
    <x v="2"/>
    <x v="619"/>
    <x v="4"/>
  </r>
  <r>
    <n v="629"/>
    <x v="3"/>
    <x v="0"/>
    <n v="32.371675160000002"/>
    <n v="472.42978069999998"/>
    <n v="393.71919989999998"/>
    <n v="236.27641869999999"/>
    <n v="27.610738019999999"/>
    <x v="0"/>
    <x v="620"/>
    <x v="3"/>
  </r>
  <r>
    <n v="630"/>
    <x v="0"/>
    <x v="2"/>
    <n v="39.733592649999999"/>
    <n v="594.06961439999998"/>
    <n v="292.42926019999999"/>
    <n v="206.8335936"/>
    <n v="24.386316870000002"/>
    <x v="2"/>
    <x v="621"/>
    <x v="0"/>
  </r>
  <r>
    <n v="631"/>
    <x v="2"/>
    <x v="1"/>
    <n v="52.470773780000002"/>
    <n v="549.61649060000002"/>
    <n v="640.4304525"/>
    <n v="261.39686740000002"/>
    <n v="39.878679339999998"/>
    <x v="0"/>
    <x v="622"/>
    <x v="2"/>
  </r>
  <r>
    <n v="632"/>
    <x v="2"/>
    <x v="1"/>
    <n v="254.36655289999999"/>
    <n v="2017.707189"/>
    <n v="621.9078872"/>
    <n v="199.41698220000001"/>
    <n v="24.581323149999999"/>
    <x v="2"/>
    <x v="623"/>
    <x v="2"/>
  </r>
  <r>
    <n v="633"/>
    <x v="1"/>
    <x v="0"/>
    <n v="57.02406569"/>
    <n v="519.15392989999998"/>
    <n v="467.11742509999999"/>
    <n v="288.80436400000002"/>
    <n v="30.03482112"/>
    <x v="1"/>
    <x v="624"/>
    <x v="1"/>
  </r>
  <r>
    <n v="634"/>
    <x v="0"/>
    <x v="2"/>
    <n v="50.96749895"/>
    <n v="444.02575259999998"/>
    <n v="599.93028389999995"/>
    <n v="176.96124929999999"/>
    <n v="25.985959829999999"/>
    <x v="1"/>
    <x v="625"/>
    <x v="0"/>
  </r>
  <r>
    <n v="635"/>
    <x v="5"/>
    <x v="3"/>
    <n v="50.539879999999997"/>
    <n v="480.60505999999998"/>
    <n v="708.39512249999996"/>
    <n v="161.52188090000001"/>
    <n v="31.48519735"/>
    <x v="2"/>
    <x v="626"/>
    <x v="4"/>
  </r>
  <r>
    <n v="636"/>
    <x v="4"/>
    <x v="3"/>
    <n v="43.959877249999998"/>
    <n v="433.66956779999998"/>
    <n v="570.48911199999998"/>
    <n v="227.3651337"/>
    <n v="23.62807433"/>
    <x v="1"/>
    <x v="627"/>
    <x v="4"/>
  </r>
  <r>
    <n v="637"/>
    <x v="2"/>
    <x v="4"/>
    <n v="58.846067900000001"/>
    <n v="470.5220716"/>
    <n v="537.56156869999995"/>
    <n v="268.20409690000002"/>
    <n v="34.201784119999999"/>
    <x v="2"/>
    <x v="628"/>
    <x v="2"/>
  </r>
  <r>
    <n v="638"/>
    <x v="3"/>
    <x v="4"/>
    <n v="40.808198609999998"/>
    <n v="634.61782640000001"/>
    <n v="503.87396360000002"/>
    <n v="131.0598348"/>
    <n v="40.180780929999997"/>
    <x v="2"/>
    <x v="629"/>
    <x v="3"/>
  </r>
  <r>
    <n v="639"/>
    <x v="4"/>
    <x v="4"/>
    <n v="38.896004830000003"/>
    <n v="392.2128189"/>
    <n v="557.93968380000001"/>
    <n v="190.15046760000001"/>
    <n v="25.802303810000002"/>
    <x v="1"/>
    <x v="630"/>
    <x v="4"/>
  </r>
  <r>
    <n v="640"/>
    <x v="3"/>
    <x v="0"/>
    <n v="55.67055517"/>
    <n v="431.1282334"/>
    <n v="436.32967280000003"/>
    <n v="169.46090269999999"/>
    <n v="36.084844310000001"/>
    <x v="1"/>
    <x v="631"/>
    <x v="3"/>
  </r>
  <r>
    <n v="641"/>
    <x v="0"/>
    <x v="3"/>
    <n v="36.668426889999999"/>
    <n v="374.57011369999998"/>
    <n v="446.80369569999999"/>
    <n v="207.14255059999999"/>
    <n v="28.09060328"/>
    <x v="1"/>
    <x v="632"/>
    <x v="0"/>
  </r>
  <r>
    <n v="642"/>
    <x v="2"/>
    <x v="1"/>
    <n v="74.147909990000002"/>
    <n v="352.90912429999997"/>
    <n v="534.10696499999995"/>
    <n v="200.5008962"/>
    <n v="37.528955609999997"/>
    <x v="2"/>
    <x v="633"/>
    <x v="2"/>
  </r>
  <r>
    <n v="643"/>
    <x v="4"/>
    <x v="2"/>
    <n v="50.799933809999999"/>
    <n v="481.32280859999997"/>
    <n v="423.13621560000001"/>
    <n v="267.2690624"/>
    <n v="40.942494930000002"/>
    <x v="1"/>
    <x v="634"/>
    <x v="4"/>
  </r>
  <r>
    <n v="644"/>
    <x v="2"/>
    <x v="3"/>
    <n v="53.479061160000001"/>
    <n v="438.23908180000001"/>
    <n v="436.10403930000001"/>
    <n v="194.5797604"/>
    <n v="28.83147494"/>
    <x v="2"/>
    <x v="635"/>
    <x v="2"/>
  </r>
  <r>
    <n v="645"/>
    <x v="4"/>
    <x v="1"/>
    <n v="41.91580175"/>
    <n v="676.16889309999999"/>
    <n v="480.02239980000002"/>
    <n v="268.7392049"/>
    <n v="22.398669600000002"/>
    <x v="0"/>
    <x v="636"/>
    <x v="4"/>
  </r>
  <r>
    <n v="646"/>
    <x v="4"/>
    <x v="1"/>
    <n v="46.84735156"/>
    <n v="471.71534539999999"/>
    <n v="618.07290609999995"/>
    <n v="184.24498320000001"/>
    <n v="34.740421939999997"/>
    <x v="2"/>
    <x v="637"/>
    <x v="4"/>
  </r>
  <r>
    <n v="647"/>
    <x v="4"/>
    <x v="2"/>
    <n v="45.732428830000003"/>
    <n v="628.93968629999995"/>
    <n v="344.08034959999998"/>
    <n v="246.32409380000001"/>
    <n v="31.122086039999999"/>
    <x v="2"/>
    <x v="638"/>
    <x v="4"/>
  </r>
  <r>
    <n v="648"/>
    <x v="5"/>
    <x v="2"/>
    <n v="44.581650119999999"/>
    <n v="596.80064749999997"/>
    <n v="571.10142029999997"/>
    <n v="211.43315140000001"/>
    <n v="32.508955839999999"/>
    <x v="1"/>
    <x v="639"/>
    <x v="4"/>
  </r>
  <r>
    <n v="649"/>
    <x v="4"/>
    <x v="2"/>
    <n v="56.329617519999999"/>
    <n v="479.10458449999999"/>
    <n v="575.01556949999997"/>
    <n v="286.49426990000001"/>
    <n v="28.300774789999998"/>
    <x v="2"/>
    <x v="640"/>
    <x v="4"/>
  </r>
  <r>
    <n v="650"/>
    <x v="3"/>
    <x v="0"/>
    <n v="45.50423962"/>
    <n v="711.01355820000003"/>
    <n v="574.29744110000001"/>
    <n v="126.1492569"/>
    <n v="25.577535910000002"/>
    <x v="2"/>
    <x v="641"/>
    <x v="3"/>
  </r>
  <r>
    <n v="651"/>
    <x v="2"/>
    <x v="2"/>
    <n v="60.175012289999998"/>
    <n v="526.85339859999999"/>
    <n v="383.19043440000002"/>
    <n v="141.80711410000001"/>
    <n v="35.801740899999999"/>
    <x v="2"/>
    <x v="642"/>
    <x v="2"/>
  </r>
  <r>
    <n v="652"/>
    <x v="0"/>
    <x v="2"/>
    <n v="76.631823499999996"/>
    <n v="651.30092660000003"/>
    <n v="276.8782061"/>
    <n v="291.5811142"/>
    <n v="31.59894997"/>
    <x v="2"/>
    <x v="643"/>
    <x v="0"/>
  </r>
  <r>
    <n v="653"/>
    <x v="0"/>
    <x v="3"/>
    <n v="47.0445876"/>
    <n v="639.6596892"/>
    <n v="547.16405669999995"/>
    <n v="163.33674529999999"/>
    <n v="22.782214830000001"/>
    <x v="2"/>
    <x v="644"/>
    <x v="0"/>
  </r>
  <r>
    <n v="654"/>
    <x v="4"/>
    <x v="4"/>
    <n v="51.52315514"/>
    <n v="541.46479850000003"/>
    <n v="502.50465409999998"/>
    <n v="166.50983210000001"/>
    <n v="33.434376120000003"/>
    <x v="1"/>
    <x v="645"/>
    <x v="4"/>
  </r>
  <r>
    <n v="655"/>
    <x v="2"/>
    <x v="1"/>
    <n v="53.794820569999999"/>
    <n v="575.11308480000002"/>
    <n v="600.52519619999998"/>
    <n v="156.21382070000001"/>
    <n v="32.430842990000002"/>
    <x v="0"/>
    <x v="646"/>
    <x v="2"/>
  </r>
  <r>
    <n v="656"/>
    <x v="4"/>
    <x v="2"/>
    <n v="68.115048130000005"/>
    <n v="562.40714149999997"/>
    <n v="395.93558059999998"/>
    <n v="257.42229780000002"/>
    <n v="28.373505380000001"/>
    <x v="1"/>
    <x v="647"/>
    <x v="4"/>
  </r>
  <r>
    <n v="657"/>
    <x v="2"/>
    <x v="2"/>
    <n v="245.8676107"/>
    <n v="1542.295427"/>
    <n v="571.21420520000004"/>
    <n v="137.32711929999999"/>
    <n v="38.09906617"/>
    <x v="2"/>
    <x v="648"/>
    <x v="2"/>
  </r>
  <r>
    <n v="658"/>
    <x v="3"/>
    <x v="2"/>
    <n v="41.709830799999999"/>
    <n v="505.72903539999999"/>
    <n v="606.52945350000005"/>
    <n v="201.1225206"/>
    <n v="26.90913419"/>
    <x v="2"/>
    <x v="649"/>
    <x v="3"/>
  </r>
  <r>
    <n v="659"/>
    <x v="2"/>
    <x v="4"/>
    <n v="37.336594939999998"/>
    <n v="607.42472339999995"/>
    <n v="468.56283350000001"/>
    <n v="186.7189089"/>
    <n v="29.155067509999999"/>
    <x v="1"/>
    <x v="650"/>
    <x v="2"/>
  </r>
  <r>
    <n v="660"/>
    <x v="1"/>
    <x v="4"/>
    <n v="49.420160529999997"/>
    <n v="652.61863170000004"/>
    <n v="530.03154040000004"/>
    <n v="251.8257792"/>
    <n v="33.843240440000002"/>
    <x v="0"/>
    <x v="651"/>
    <x v="1"/>
  </r>
  <r>
    <n v="661"/>
    <x v="2"/>
    <x v="2"/>
    <n v="227.58098899999999"/>
    <n v="1711.7441309999999"/>
    <n v="525.8359749"/>
    <n v="171.8158669"/>
    <n v="30.383814749999999"/>
    <x v="2"/>
    <x v="652"/>
    <x v="2"/>
  </r>
  <r>
    <n v="662"/>
    <x v="2"/>
    <x v="0"/>
    <n v="70.100092889999999"/>
    <n v="552.88313019999998"/>
    <n v="381.42365649999999"/>
    <n v="220.76362900000001"/>
    <n v="23.077884229999999"/>
    <x v="1"/>
    <x v="653"/>
    <x v="2"/>
  </r>
  <r>
    <n v="663"/>
    <x v="2"/>
    <x v="2"/>
    <n v="50.539879999999997"/>
    <n v="2060.3480850000001"/>
    <n v="543.73159229999999"/>
    <n v="141.4391913"/>
    <n v="30.91899686"/>
    <x v="1"/>
    <x v="654"/>
    <x v="2"/>
  </r>
  <r>
    <n v="664"/>
    <x v="2"/>
    <x v="3"/>
    <n v="39.656271719999999"/>
    <n v="488.21259350000003"/>
    <n v="674.69980090000001"/>
    <n v="313.69705190000002"/>
    <n v="27.92805104"/>
    <x v="1"/>
    <x v="655"/>
    <x v="2"/>
  </r>
  <r>
    <n v="665"/>
    <x v="1"/>
    <x v="1"/>
    <n v="42.892398960000001"/>
    <n v="535.60026289999996"/>
    <n v="482.66447210000001"/>
    <n v="188.02038379999999"/>
    <n v="34.284981219999999"/>
    <x v="1"/>
    <x v="656"/>
    <x v="1"/>
  </r>
  <r>
    <n v="666"/>
    <x v="4"/>
    <x v="0"/>
    <n v="50.737701080000001"/>
    <n v="521.79974110000001"/>
    <n v="304.68900739999998"/>
    <n v="200.43817419999999"/>
    <n v="30.756091720000001"/>
    <x v="2"/>
    <x v="657"/>
    <x v="4"/>
  </r>
  <r>
    <n v="667"/>
    <x v="2"/>
    <x v="2"/>
    <n v="63.97226423"/>
    <n v="554.14075690000004"/>
    <n v="397.53281629999998"/>
    <n v="282.73771790000001"/>
    <n v="30.472538270000001"/>
    <x v="0"/>
    <x v="658"/>
    <x v="2"/>
  </r>
  <r>
    <n v="668"/>
    <x v="2"/>
    <x v="2"/>
    <n v="50.570131359999998"/>
    <n v="644.17167610000001"/>
    <n v="266.4684661"/>
    <n v="170.66636130000001"/>
    <n v="24.758744180000001"/>
    <x v="0"/>
    <x v="659"/>
    <x v="2"/>
  </r>
  <r>
    <n v="669"/>
    <x v="3"/>
    <x v="0"/>
    <n v="43.527593619999998"/>
    <n v="578.41275910000002"/>
    <n v="634.83133550000002"/>
    <n v="283.36911709999998"/>
    <n v="28.849873460000001"/>
    <x v="2"/>
    <x v="660"/>
    <x v="3"/>
  </r>
  <r>
    <n v="670"/>
    <x v="2"/>
    <x v="0"/>
    <n v="49.411181900000003"/>
    <n v="531.05912590000003"/>
    <n v="571.69263560000002"/>
    <n v="179.42644129999999"/>
    <n v="34.850505470000002"/>
    <x v="1"/>
    <x v="661"/>
    <x v="2"/>
  </r>
  <r>
    <n v="671"/>
    <x v="3"/>
    <x v="2"/>
    <n v="43.71515136"/>
    <n v="686.46250569999995"/>
    <n v="419.83568739999998"/>
    <n v="233.5849092"/>
    <n v="26.117318279999999"/>
    <x v="2"/>
    <x v="662"/>
    <x v="3"/>
  </r>
  <r>
    <n v="672"/>
    <x v="1"/>
    <x v="0"/>
    <n v="56.024772089999999"/>
    <n v="610.99295959999995"/>
    <n v="309.83280939999997"/>
    <n v="171.36591799999999"/>
    <n v="29.837248880000001"/>
    <x v="2"/>
    <x v="663"/>
    <x v="1"/>
  </r>
  <r>
    <n v="673"/>
    <x v="4"/>
    <x v="2"/>
    <n v="42.909662879999999"/>
    <n v="490.76015610000002"/>
    <n v="480.48430000000002"/>
    <n v="132.1981777"/>
    <n v="25.317769739999999"/>
    <x v="2"/>
    <x v="664"/>
    <x v="4"/>
  </r>
  <r>
    <n v="674"/>
    <x v="2"/>
    <x v="4"/>
    <n v="44.89563948"/>
    <n v="378.28795980000001"/>
    <n v="403.40676409999998"/>
    <n v="220.72971749999999"/>
    <n v="24.080786790000001"/>
    <x v="1"/>
    <x v="665"/>
    <x v="2"/>
  </r>
  <r>
    <n v="675"/>
    <x v="0"/>
    <x v="0"/>
    <n v="61.619338130000003"/>
    <n v="401.21693190000002"/>
    <n v="493.12891189999999"/>
    <n v="231.99517"/>
    <n v="29.575704779999999"/>
    <x v="1"/>
    <x v="666"/>
    <x v="0"/>
  </r>
  <r>
    <n v="676"/>
    <x v="0"/>
    <x v="4"/>
    <n v="216.10298449999999"/>
    <n v="593.3232448"/>
    <n v="489.09112119999998"/>
    <n v="134.20571290000001"/>
    <n v="30.869005820000002"/>
    <x v="1"/>
    <x v="667"/>
    <x v="0"/>
  </r>
  <r>
    <n v="677"/>
    <x v="5"/>
    <x v="2"/>
    <n v="35.538719669999999"/>
    <n v="436.96875210000002"/>
    <n v="640.97183700000005"/>
    <n v="184.6470841"/>
    <n v="39.969314699999998"/>
    <x v="2"/>
    <x v="668"/>
    <x v="4"/>
  </r>
  <r>
    <n v="678"/>
    <x v="2"/>
    <x v="2"/>
    <n v="50.949937509999998"/>
    <n v="399.19445230000002"/>
    <n v="396.86941710000002"/>
    <n v="260.03794809999999"/>
    <n v="27.722698080000001"/>
    <x v="1"/>
    <x v="669"/>
    <x v="2"/>
  </r>
  <r>
    <n v="679"/>
    <x v="1"/>
    <x v="1"/>
    <n v="50.539879999999997"/>
    <n v="424.1914673"/>
    <n v="299.01745749999998"/>
    <n v="230.00594749999999"/>
    <n v="29.749153660000001"/>
    <x v="2"/>
    <x v="670"/>
    <x v="1"/>
  </r>
  <r>
    <n v="680"/>
    <x v="2"/>
    <x v="0"/>
    <n v="55.114155009999998"/>
    <n v="431.26156880000002"/>
    <n v="341.16258299999998"/>
    <n v="180.2392499"/>
    <n v="23.74963241"/>
    <x v="1"/>
    <x v="671"/>
    <x v="2"/>
  </r>
  <r>
    <n v="681"/>
    <x v="0"/>
    <x v="1"/>
    <n v="53.174719349999997"/>
    <n v="585.06476680000003"/>
    <n v="477.23701749999998"/>
    <n v="170.12371490000001"/>
    <n v="33.061200069999998"/>
    <x v="1"/>
    <x v="672"/>
    <x v="0"/>
  </r>
  <r>
    <n v="682"/>
    <x v="2"/>
    <x v="2"/>
    <n v="49.68081505"/>
    <n v="484.32579240000001"/>
    <n v="392.55863199999999"/>
    <n v="297.41221630000001"/>
    <n v="31.990473900000001"/>
    <x v="0"/>
    <x v="673"/>
    <x v="2"/>
  </r>
  <r>
    <n v="683"/>
    <x v="0"/>
    <x v="0"/>
    <n v="49.389565750000003"/>
    <n v="362.76254"/>
    <n v="444.95897450000001"/>
    <n v="127.6533965"/>
    <n v="37.441973390000001"/>
    <x v="2"/>
    <x v="674"/>
    <x v="0"/>
  </r>
  <r>
    <n v="684"/>
    <x v="2"/>
    <x v="4"/>
    <n v="42.641415510000002"/>
    <n v="503.10448980000001"/>
    <n v="425.51597040000001"/>
    <n v="197.04007129999999"/>
    <n v="35.558110759999998"/>
    <x v="1"/>
    <x v="675"/>
    <x v="2"/>
  </r>
  <r>
    <n v="685"/>
    <x v="3"/>
    <x v="3"/>
    <n v="50.539879999999997"/>
    <n v="522.22661319999997"/>
    <n v="598.82861439999999"/>
    <n v="126.7651563"/>
    <n v="31.75703334"/>
    <x v="1"/>
    <x v="676"/>
    <x v="3"/>
  </r>
  <r>
    <n v="686"/>
    <x v="2"/>
    <x v="1"/>
    <n v="58.812847810000001"/>
    <n v="452.06631390000001"/>
    <n v="409.56411750000001"/>
    <n v="265.74073220000002"/>
    <n v="29.664100000000001"/>
    <x v="1"/>
    <x v="677"/>
    <x v="2"/>
  </r>
  <r>
    <n v="687"/>
    <x v="5"/>
    <x v="0"/>
    <n v="40.265532589999999"/>
    <n v="615.58850840000002"/>
    <n v="434.71895080000002"/>
    <n v="199.64381940000001"/>
    <n v="31.023342190000001"/>
    <x v="1"/>
    <x v="678"/>
    <x v="4"/>
  </r>
  <r>
    <n v="688"/>
    <x v="2"/>
    <x v="1"/>
    <n v="49.946026240000002"/>
    <n v="457.90611139999999"/>
    <n v="566.07402969999998"/>
    <n v="208.90870419999999"/>
    <n v="29.444932690000002"/>
    <x v="1"/>
    <x v="679"/>
    <x v="2"/>
  </r>
  <r>
    <n v="689"/>
    <x v="2"/>
    <x v="0"/>
    <n v="60.383887559999998"/>
    <n v="610.83376869999995"/>
    <n v="412.20217070000001"/>
    <n v="338.4446155"/>
    <n v="34.766987669999999"/>
    <x v="0"/>
    <x v="680"/>
    <x v="2"/>
  </r>
  <r>
    <n v="690"/>
    <x v="5"/>
    <x v="2"/>
    <n v="55.054240929999999"/>
    <n v="559.67827799999998"/>
    <n v="530.78548490000003"/>
    <n v="170.3263662"/>
    <n v="34.131157450000003"/>
    <x v="2"/>
    <x v="681"/>
    <x v="4"/>
  </r>
  <r>
    <n v="691"/>
    <x v="1"/>
    <x v="4"/>
    <n v="63.094728959999998"/>
    <n v="592.66055080000001"/>
    <n v="519.77823139999998"/>
    <n v="287.42879570000002"/>
    <n v="28.517922779999999"/>
    <x v="2"/>
    <x v="682"/>
    <x v="1"/>
  </r>
  <r>
    <n v="692"/>
    <x v="2"/>
    <x v="1"/>
    <n v="44.318576700000001"/>
    <n v="390.1449159"/>
    <n v="497.01190309999998"/>
    <n v="180.46340430000001"/>
    <n v="22.690031099999999"/>
    <x v="2"/>
    <x v="683"/>
    <x v="2"/>
  </r>
  <r>
    <n v="693"/>
    <x v="5"/>
    <x v="3"/>
    <n v="31.692315520000001"/>
    <n v="509.83101920000001"/>
    <n v="343.87243410000002"/>
    <n v="188.32437709999999"/>
    <n v="36.666936499999998"/>
    <x v="1"/>
    <x v="684"/>
    <x v="4"/>
  </r>
  <r>
    <n v="694"/>
    <x v="2"/>
    <x v="3"/>
    <n v="52.006518040000003"/>
    <n v="494.71719949999999"/>
    <n v="627.57290690000002"/>
    <n v="331.90876279999998"/>
    <n v="32.909369779999999"/>
    <x v="2"/>
    <x v="685"/>
    <x v="2"/>
  </r>
  <r>
    <n v="695"/>
    <x v="3"/>
    <x v="2"/>
    <n v="53.625708150000001"/>
    <n v="357.79934750000001"/>
    <n v="746.48205559999997"/>
    <n v="191.94548109999999"/>
    <n v="28.402549650000001"/>
    <x v="1"/>
    <x v="686"/>
    <x v="3"/>
  </r>
  <r>
    <n v="696"/>
    <x v="3"/>
    <x v="0"/>
    <n v="63.684219540000001"/>
    <n v="610.50607300000001"/>
    <n v="481.05937660000001"/>
    <n v="131.28142980000001"/>
    <n v="32.714366740000003"/>
    <x v="1"/>
    <x v="687"/>
    <x v="3"/>
  </r>
  <r>
    <n v="697"/>
    <x v="2"/>
    <x v="1"/>
    <n v="61.881457349999998"/>
    <n v="418.2599103"/>
    <n v="354.43741519999998"/>
    <n v="214.09593939999999"/>
    <n v="30.374306529999998"/>
    <x v="2"/>
    <x v="688"/>
    <x v="2"/>
  </r>
  <r>
    <n v="698"/>
    <x v="1"/>
    <x v="2"/>
    <n v="55.367436230000003"/>
    <n v="439.04321709999999"/>
    <n v="483.49232499999999"/>
    <n v="191.36315870000001"/>
    <n v="36.593089630000001"/>
    <x v="1"/>
    <x v="689"/>
    <x v="1"/>
  </r>
  <r>
    <n v="699"/>
    <x v="1"/>
    <x v="1"/>
    <n v="57.65390214"/>
    <n v="398.66841640000001"/>
    <n v="598.78321689999996"/>
    <n v="218.3547921"/>
    <n v="20.351098839999999"/>
    <x v="2"/>
    <x v="690"/>
    <x v="1"/>
  </r>
  <r>
    <n v="700"/>
    <x v="2"/>
    <x v="0"/>
    <n v="48.081785420000003"/>
    <n v="570.11863259999996"/>
    <n v="406.17747889999998"/>
    <n v="193.32011030000001"/>
    <n v="28.014045169999999"/>
    <x v="2"/>
    <x v="691"/>
    <x v="2"/>
  </r>
  <r>
    <n v="701"/>
    <x v="2"/>
    <x v="3"/>
    <n v="37.808853890000002"/>
    <n v="347.40702809999999"/>
    <n v="464.5320979"/>
    <n v="310.77723079999998"/>
    <n v="37.995272579999998"/>
    <x v="1"/>
    <x v="692"/>
    <x v="2"/>
  </r>
  <r>
    <n v="702"/>
    <x v="3"/>
    <x v="2"/>
    <n v="51.177212169999997"/>
    <n v="561.78747999999996"/>
    <n v="520.87849640000002"/>
    <n v="227.83679190000001"/>
    <n v="32.815992020000003"/>
    <x v="1"/>
    <x v="693"/>
    <x v="3"/>
  </r>
  <r>
    <n v="703"/>
    <x v="1"/>
    <x v="3"/>
    <n v="59.82573464"/>
    <n v="604.45139859999995"/>
    <n v="624.36574229999997"/>
    <n v="146.25176859999999"/>
    <n v="38.863033340000001"/>
    <x v="0"/>
    <x v="694"/>
    <x v="1"/>
  </r>
  <r>
    <n v="704"/>
    <x v="2"/>
    <x v="2"/>
    <n v="56.563608700000003"/>
    <n v="553.71784279999997"/>
    <n v="573.05084799999997"/>
    <n v="206.22734009999999"/>
    <n v="23.890964530000002"/>
    <x v="1"/>
    <x v="695"/>
    <x v="2"/>
  </r>
  <r>
    <n v="705"/>
    <x v="0"/>
    <x v="4"/>
    <n v="58.338073389999998"/>
    <n v="571.26284840000005"/>
    <n v="578.02415629999996"/>
    <n v="160.01850880000001"/>
    <n v="35.360983580000003"/>
    <x v="0"/>
    <x v="696"/>
    <x v="0"/>
  </r>
  <r>
    <n v="706"/>
    <x v="1"/>
    <x v="2"/>
    <n v="45.722443130000002"/>
    <n v="575.95464700000002"/>
    <n v="428.84777320000001"/>
    <n v="187.6143079"/>
    <n v="35.06112212"/>
    <x v="1"/>
    <x v="697"/>
    <x v="1"/>
  </r>
  <r>
    <n v="707"/>
    <x v="5"/>
    <x v="2"/>
    <n v="47.344531619999998"/>
    <n v="405.05756730000002"/>
    <n v="528.23027460000003"/>
    <n v="154.47796450000001"/>
    <n v="21.59135732"/>
    <x v="2"/>
    <x v="698"/>
    <x v="4"/>
  </r>
  <r>
    <n v="708"/>
    <x v="0"/>
    <x v="0"/>
    <n v="54.834254880000003"/>
    <n v="643.47349799999995"/>
    <n v="393.36440069999998"/>
    <n v="305.3559262"/>
    <n v="28.522488549999998"/>
    <x v="0"/>
    <x v="699"/>
    <x v="0"/>
  </r>
  <r>
    <n v="709"/>
    <x v="1"/>
    <x v="2"/>
    <n v="44.534926050000003"/>
    <n v="453.99237460000001"/>
    <n v="581.46313199999997"/>
    <n v="165.43076919999999"/>
    <n v="29.46735447"/>
    <x v="2"/>
    <x v="700"/>
    <x v="1"/>
  </r>
  <r>
    <n v="710"/>
    <x v="3"/>
    <x v="2"/>
    <n v="44.842829299999998"/>
    <n v="493.3612382"/>
    <n v="618.1463569"/>
    <n v="234.3782176"/>
    <n v="21.902219859999999"/>
    <x v="1"/>
    <x v="701"/>
    <x v="3"/>
  </r>
  <r>
    <n v="711"/>
    <x v="4"/>
    <x v="0"/>
    <n v="52.97982236"/>
    <n v="466.73626819999998"/>
    <n v="546.40362830000004"/>
    <n v="183.82602890000001"/>
    <n v="28.626988369999999"/>
    <x v="1"/>
    <x v="702"/>
    <x v="4"/>
  </r>
  <r>
    <n v="712"/>
    <x v="0"/>
    <x v="3"/>
    <n v="57.609047429999997"/>
    <n v="503.25760000000002"/>
    <n v="435.91072960000002"/>
    <n v="142.0793414"/>
    <n v="34.365915700000002"/>
    <x v="0"/>
    <x v="703"/>
    <x v="0"/>
  </r>
  <r>
    <n v="713"/>
    <x v="2"/>
    <x v="4"/>
    <n v="48.004713270000003"/>
    <n v="446.1962757"/>
    <n v="455.55274459999998"/>
    <n v="209.88246509999999"/>
    <n v="28.0453847"/>
    <x v="1"/>
    <x v="704"/>
    <x v="2"/>
  </r>
  <r>
    <n v="714"/>
    <x v="2"/>
    <x v="0"/>
    <n v="38.368105389999997"/>
    <n v="506.69157239999998"/>
    <n v="696.78194529999996"/>
    <n v="220.03459190000001"/>
    <n v="31.210665779999999"/>
    <x v="2"/>
    <x v="705"/>
    <x v="2"/>
  </r>
  <r>
    <n v="715"/>
    <x v="3"/>
    <x v="1"/>
    <n v="42.641960849999997"/>
    <n v="376.46561830000002"/>
    <n v="437.9147466"/>
    <n v="227.93132660000001"/>
    <n v="31.246851410000001"/>
    <x v="1"/>
    <x v="706"/>
    <x v="3"/>
  </r>
  <r>
    <n v="716"/>
    <x v="1"/>
    <x v="0"/>
    <n v="52.036720850000002"/>
    <n v="616.46652089999998"/>
    <n v="605.99930010000003"/>
    <n v="68.889042270000004"/>
    <n v="29.939282939999998"/>
    <x v="2"/>
    <x v="707"/>
    <x v="1"/>
  </r>
  <r>
    <n v="717"/>
    <x v="2"/>
    <x v="0"/>
    <n v="51.91520964"/>
    <n v="567.07409459999997"/>
    <n v="520.66699180000001"/>
    <n v="138.2577143"/>
    <n v="26.474089880000001"/>
    <x v="1"/>
    <x v="708"/>
    <x v="2"/>
  </r>
  <r>
    <n v="718"/>
    <x v="1"/>
    <x v="4"/>
    <n v="52.412381379999999"/>
    <n v="470.77402380000001"/>
    <n v="439.90362620000002"/>
    <n v="247.877736"/>
    <n v="33.294069870000001"/>
    <x v="1"/>
    <x v="709"/>
    <x v="1"/>
  </r>
  <r>
    <n v="719"/>
    <x v="3"/>
    <x v="1"/>
    <n v="55.212952909999998"/>
    <n v="453.08509700000002"/>
    <n v="318.64211669999997"/>
    <n v="153.8196519"/>
    <n v="22.06483119"/>
    <x v="1"/>
    <x v="710"/>
    <x v="3"/>
  </r>
  <r>
    <n v="720"/>
    <x v="2"/>
    <x v="2"/>
    <n v="50.058105589999997"/>
    <n v="564.46282459999998"/>
    <n v="505.39204569999998"/>
    <n v="210.14720249999999"/>
    <n v="30.042940689999998"/>
    <x v="2"/>
    <x v="711"/>
    <x v="2"/>
  </r>
  <r>
    <n v="722"/>
    <x v="2"/>
    <x v="0"/>
    <n v="49.549731770000001"/>
    <n v="512.53653159999999"/>
    <n v="696.78416059999995"/>
    <n v="236.58005510000001"/>
    <n v="27.763133750000001"/>
    <x v="1"/>
    <x v="712"/>
    <x v="2"/>
  </r>
  <r>
    <n v="723"/>
    <x v="0"/>
    <x v="1"/>
    <n v="61.487334830000002"/>
    <n v="616.13987870000005"/>
    <n v="376.77687650000001"/>
    <n v="246.56347980000001"/>
    <n v="26.363393890000001"/>
    <x v="1"/>
    <x v="713"/>
    <x v="0"/>
  </r>
  <r>
    <n v="724"/>
    <x v="2"/>
    <x v="1"/>
    <n v="64.323420310000003"/>
    <n v="418.8742881"/>
    <n v="755.37223100000006"/>
    <n v="236.59549530000001"/>
    <n v="33.627580690000002"/>
    <x v="1"/>
    <x v="714"/>
    <x v="2"/>
  </r>
  <r>
    <n v="725"/>
    <x v="0"/>
    <x v="4"/>
    <n v="38.109887180000001"/>
    <n v="536.86008289999995"/>
    <n v="525.45726349999995"/>
    <n v="251.62784060000001"/>
    <n v="30.817158800000001"/>
    <x v="2"/>
    <x v="715"/>
    <x v="0"/>
  </r>
  <r>
    <n v="726"/>
    <x v="2"/>
    <x v="3"/>
    <n v="47.447480579999997"/>
    <n v="531.57252670000003"/>
    <n v="525.33950649999997"/>
    <n v="278.19500720000002"/>
    <n v="33.727236410000003"/>
    <x v="2"/>
    <x v="716"/>
    <x v="2"/>
  </r>
  <r>
    <n v="727"/>
    <x v="2"/>
    <x v="2"/>
    <n v="50.327244919999998"/>
    <n v="490.26631809999998"/>
    <n v="408.83134389999998"/>
    <n v="141.2962934"/>
    <n v="30.192492430000001"/>
    <x v="1"/>
    <x v="717"/>
    <x v="2"/>
  </r>
  <r>
    <n v="728"/>
    <x v="4"/>
    <x v="4"/>
    <n v="47.330852880000002"/>
    <n v="449.62104160000001"/>
    <n v="517.76475689999995"/>
    <n v="160.56640340000001"/>
    <n v="18.058537749999999"/>
    <x v="1"/>
    <x v="718"/>
    <x v="4"/>
  </r>
  <r>
    <n v="729"/>
    <x v="4"/>
    <x v="2"/>
    <n v="67.92922591"/>
    <n v="621.47970569999995"/>
    <n v="536.7661114"/>
    <n v="244.87717850000001"/>
    <n v="35.899567050000002"/>
    <x v="1"/>
    <x v="719"/>
    <x v="4"/>
  </r>
  <r>
    <n v="730"/>
    <x v="0"/>
    <x v="2"/>
    <n v="52.239552779999997"/>
    <n v="440.24313640000003"/>
    <n v="592.47927500000003"/>
    <n v="256.51098860000002"/>
    <n v="40.350131910000002"/>
    <x v="1"/>
    <x v="720"/>
    <x v="0"/>
  </r>
  <r>
    <n v="731"/>
    <x v="5"/>
    <x v="4"/>
    <n v="41.946281730000003"/>
    <n v="318.79610989999998"/>
    <n v="362.60133509999997"/>
    <n v="166.2828523"/>
    <n v="36.420205029999998"/>
    <x v="0"/>
    <x v="721"/>
    <x v="4"/>
  </r>
  <r>
    <n v="732"/>
    <x v="0"/>
    <x v="2"/>
    <n v="55.964423400000001"/>
    <n v="564.05335920000005"/>
    <n v="648.81370270000002"/>
    <n v="162.8056967"/>
    <n v="12.305711369999999"/>
    <x v="1"/>
    <x v="722"/>
    <x v="0"/>
  </r>
  <r>
    <n v="733"/>
    <x v="4"/>
    <x v="3"/>
    <n v="263.54872690000002"/>
    <n v="1519.47866"/>
    <n v="523.36986290000004"/>
    <n v="167.38932550000001"/>
    <n v="32.255441060000003"/>
    <x v="1"/>
    <x v="723"/>
    <x v="4"/>
  </r>
  <r>
    <n v="734"/>
    <x v="2"/>
    <x v="2"/>
    <n v="53.041929199999998"/>
    <n v="569.18811449999998"/>
    <n v="552.98746740000001"/>
    <n v="119.74525180000001"/>
    <n v="29.664100000000001"/>
    <x v="2"/>
    <x v="724"/>
    <x v="2"/>
  </r>
  <r>
    <n v="735"/>
    <x v="3"/>
    <x v="3"/>
    <n v="68.078761589999999"/>
    <n v="633.49032480000005"/>
    <n v="453.4869286"/>
    <n v="136.4294409"/>
    <n v="24.578781230000001"/>
    <x v="1"/>
    <x v="725"/>
    <x v="3"/>
  </r>
  <r>
    <n v="736"/>
    <x v="0"/>
    <x v="2"/>
    <n v="50.539879999999997"/>
    <n v="562.97498780000001"/>
    <n v="368.62288339999998"/>
    <n v="137.63536769999999"/>
    <n v="30.613660809999999"/>
    <x v="2"/>
    <x v="726"/>
    <x v="0"/>
  </r>
  <r>
    <n v="737"/>
    <x v="2"/>
    <x v="0"/>
    <n v="46.963384759999997"/>
    <n v="607.14113020000002"/>
    <n v="488.72695529999999"/>
    <n v="185.29507630000001"/>
    <n v="29.255263530000001"/>
    <x v="1"/>
    <x v="727"/>
    <x v="2"/>
  </r>
  <r>
    <n v="738"/>
    <x v="3"/>
    <x v="4"/>
    <n v="30.44723574"/>
    <n v="702.00491069999998"/>
    <n v="502.47546599999998"/>
    <n v="213.5418258"/>
    <n v="32.543289020000003"/>
    <x v="2"/>
    <x v="728"/>
    <x v="3"/>
  </r>
  <r>
    <n v="739"/>
    <x v="3"/>
    <x v="2"/>
    <n v="48.346009819999999"/>
    <n v="596.67604630000005"/>
    <n v="313.7486078"/>
    <n v="221.6736416"/>
    <n v="30.282900949999998"/>
    <x v="1"/>
    <x v="729"/>
    <x v="3"/>
  </r>
  <r>
    <n v="740"/>
    <x v="4"/>
    <x v="3"/>
    <n v="63.059699170000002"/>
    <n v="533.05733929999997"/>
    <n v="575.19424860000004"/>
    <n v="174.57188729999999"/>
    <n v="24.395939469999998"/>
    <x v="2"/>
    <x v="730"/>
    <x v="4"/>
  </r>
  <r>
    <n v="741"/>
    <x v="0"/>
    <x v="2"/>
    <n v="49.0883088"/>
    <n v="663.39481839999996"/>
    <n v="599.58295610000005"/>
    <n v="175.80064419999999"/>
    <n v="27.116991120000002"/>
    <x v="1"/>
    <x v="731"/>
    <x v="0"/>
  </r>
  <r>
    <n v="742"/>
    <x v="1"/>
    <x v="2"/>
    <n v="27.599501010000001"/>
    <n v="675.4775545"/>
    <n v="392.44024510000003"/>
    <n v="206.18307480000001"/>
    <n v="26.310207219999999"/>
    <x v="2"/>
    <x v="732"/>
    <x v="1"/>
  </r>
  <r>
    <n v="743"/>
    <x v="2"/>
    <x v="4"/>
    <n v="45.016376080000001"/>
    <n v="676.87717829999997"/>
    <n v="357.28975800000001"/>
    <n v="125.1992721"/>
    <n v="21.417584120000001"/>
    <x v="2"/>
    <x v="733"/>
    <x v="2"/>
  </r>
  <r>
    <n v="744"/>
    <x v="4"/>
    <x v="2"/>
    <n v="59.926885390000002"/>
    <n v="450.78564849999998"/>
    <n v="443.64463480000001"/>
    <n v="247.97202659999999"/>
    <n v="23.141776780000001"/>
    <x v="1"/>
    <x v="734"/>
    <x v="4"/>
  </r>
  <r>
    <n v="745"/>
    <x v="4"/>
    <x v="1"/>
    <n v="220.3206318"/>
    <n v="364.59816419999999"/>
    <n v="482.86741160000003"/>
    <n v="264.26926400000002"/>
    <n v="28.944656649999999"/>
    <x v="0"/>
    <x v="735"/>
    <x v="4"/>
  </r>
  <r>
    <n v="746"/>
    <x v="1"/>
    <x v="2"/>
    <n v="41.601191030000003"/>
    <n v="444.68078170000001"/>
    <n v="448.29947879999997"/>
    <n v="168.72096809999999"/>
    <n v="37.118770380000001"/>
    <x v="0"/>
    <x v="736"/>
    <x v="1"/>
  </r>
  <r>
    <n v="747"/>
    <x v="2"/>
    <x v="4"/>
    <n v="44.34715224"/>
    <n v="570.36416159999999"/>
    <n v="472.68986009999998"/>
    <n v="180.078192"/>
    <n v="27.322214599999999"/>
    <x v="2"/>
    <x v="737"/>
    <x v="2"/>
  </r>
  <r>
    <n v="748"/>
    <x v="2"/>
    <x v="4"/>
    <n v="45.892913409999998"/>
    <n v="515.91589450000004"/>
    <n v="506.57732370000002"/>
    <n v="262.1656112"/>
    <n v="26.212846129999999"/>
    <x v="2"/>
    <x v="738"/>
    <x v="2"/>
  </r>
  <r>
    <n v="749"/>
    <x v="5"/>
    <x v="0"/>
    <n v="43.37286228"/>
    <n v="479.3519015"/>
    <n v="315.80772739999998"/>
    <n v="193.8474205"/>
    <n v="24.09356597"/>
    <x v="1"/>
    <x v="739"/>
    <x v="4"/>
  </r>
  <r>
    <n v="750"/>
    <x v="0"/>
    <x v="3"/>
    <n v="135.09066809999999"/>
    <n v="556.04813990000002"/>
    <n v="329.60452470000001"/>
    <n v="229.41227230000001"/>
    <n v="30.152682469999998"/>
    <x v="2"/>
    <x v="740"/>
    <x v="0"/>
  </r>
  <r>
    <n v="751"/>
    <x v="5"/>
    <x v="0"/>
    <n v="50.539879999999997"/>
    <n v="503.25760000000002"/>
    <n v="153.3266711"/>
    <n v="195.3847303"/>
    <n v="35.896296669999998"/>
    <x v="0"/>
    <x v="741"/>
    <x v="4"/>
  </r>
  <r>
    <n v="752"/>
    <x v="2"/>
    <x v="4"/>
    <n v="62.570599569999999"/>
    <n v="514.11692989999995"/>
    <n v="593.10542740000005"/>
    <n v="277.81536940000001"/>
    <n v="40.013413829999998"/>
    <x v="2"/>
    <x v="742"/>
    <x v="2"/>
  </r>
  <r>
    <n v="753"/>
    <x v="4"/>
    <x v="2"/>
    <n v="34.81551056"/>
    <n v="611.84576449999997"/>
    <n v="481.82724250000001"/>
    <n v="224.50398139999999"/>
    <n v="31.426996880000001"/>
    <x v="1"/>
    <x v="743"/>
    <x v="4"/>
  </r>
  <r>
    <n v="754"/>
    <x v="2"/>
    <x v="2"/>
    <n v="62.438529330000001"/>
    <n v="554.93156450000004"/>
    <n v="605.74213580000003"/>
    <n v="227.3827886"/>
    <n v="30.69996871"/>
    <x v="2"/>
    <x v="744"/>
    <x v="2"/>
  </r>
  <r>
    <n v="755"/>
    <x v="4"/>
    <x v="2"/>
    <n v="48.969767990000001"/>
    <n v="569.18098220000002"/>
    <n v="343.47144050000003"/>
    <n v="228.3153269"/>
    <n v="27.282634460000001"/>
    <x v="0"/>
    <x v="745"/>
    <x v="4"/>
  </r>
  <r>
    <n v="756"/>
    <x v="3"/>
    <x v="2"/>
    <n v="62.251323480000003"/>
    <n v="659.73727899999994"/>
    <n v="482.92888069999998"/>
    <n v="172.24431319999999"/>
    <n v="28.11716689"/>
    <x v="1"/>
    <x v="746"/>
    <x v="3"/>
  </r>
  <r>
    <n v="757"/>
    <x v="4"/>
    <x v="4"/>
    <n v="50.379504359999999"/>
    <n v="503.25760000000002"/>
    <n v="505.77918069999998"/>
    <n v="176.83804319999999"/>
    <n v="33.145875459999999"/>
    <x v="2"/>
    <x v="747"/>
    <x v="4"/>
  </r>
  <r>
    <n v="758"/>
    <x v="4"/>
    <x v="2"/>
    <n v="51.355445920000001"/>
    <n v="434.69083389999997"/>
    <n v="412.58610060000001"/>
    <n v="238.46228199999999"/>
    <n v="28.425623340000001"/>
    <x v="1"/>
    <x v="748"/>
    <x v="4"/>
  </r>
  <r>
    <n v="759"/>
    <x v="2"/>
    <x v="2"/>
    <n v="53.72434647"/>
    <n v="618.95150430000001"/>
    <n v="293.58866419999998"/>
    <n v="206.32064149999999"/>
    <n v="29.188587760000001"/>
    <x v="2"/>
    <x v="749"/>
    <x v="2"/>
  </r>
  <r>
    <n v="760"/>
    <x v="2"/>
    <x v="2"/>
    <n v="42.099336749999999"/>
    <n v="617.1120631"/>
    <n v="689.50456029999998"/>
    <n v="141.1194496"/>
    <n v="29.87326363"/>
    <x v="1"/>
    <x v="750"/>
    <x v="2"/>
  </r>
  <r>
    <n v="761"/>
    <x v="2"/>
    <x v="3"/>
    <n v="61.946741439999997"/>
    <n v="555.82916750000004"/>
    <n v="647.91400099999998"/>
    <n v="199.07849999999999"/>
    <n v="27.045859449999998"/>
    <x v="1"/>
    <x v="751"/>
    <x v="2"/>
  </r>
  <r>
    <n v="762"/>
    <x v="5"/>
    <x v="3"/>
    <n v="38.786193619999999"/>
    <n v="483.96289990000002"/>
    <n v="434.1681274"/>
    <n v="248.90359340000001"/>
    <n v="29.6251037"/>
    <x v="0"/>
    <x v="752"/>
    <x v="4"/>
  </r>
  <r>
    <n v="763"/>
    <x v="3"/>
    <x v="1"/>
    <n v="45.979332550000002"/>
    <n v="500.13796509999997"/>
    <n v="541.22731739999995"/>
    <n v="199.07849999999999"/>
    <n v="19.90296936"/>
    <x v="0"/>
    <x v="753"/>
    <x v="3"/>
  </r>
  <r>
    <n v="764"/>
    <x v="2"/>
    <x v="0"/>
    <n v="55.242646780000001"/>
    <n v="372.3227048"/>
    <n v="421.82511879999998"/>
    <n v="186.3249509"/>
    <n v="32.744179420000002"/>
    <x v="1"/>
    <x v="754"/>
    <x v="2"/>
  </r>
  <r>
    <n v="765"/>
    <x v="2"/>
    <x v="2"/>
    <n v="44.908047600000003"/>
    <n v="611.29465300000004"/>
    <n v="360.5515676"/>
    <n v="209.93379289999999"/>
    <n v="41.758859190000003"/>
    <x v="0"/>
    <x v="755"/>
    <x v="2"/>
  </r>
  <r>
    <n v="766"/>
    <x v="5"/>
    <x v="2"/>
    <n v="57.775312409999998"/>
    <n v="607.765131"/>
    <n v="699.27138060000004"/>
    <n v="225.87600499999999"/>
    <n v="27.239781919999999"/>
    <x v="2"/>
    <x v="756"/>
    <x v="4"/>
  </r>
  <r>
    <n v="767"/>
    <x v="1"/>
    <x v="4"/>
    <n v="63.75866173"/>
    <n v="368.83172500000001"/>
    <n v="281.35573419999997"/>
    <n v="98.349963220000006"/>
    <n v="31.869185730000002"/>
    <x v="1"/>
    <x v="757"/>
    <x v="1"/>
  </r>
  <r>
    <n v="768"/>
    <x v="2"/>
    <x v="1"/>
    <n v="60.125460009999998"/>
    <n v="586.76320840000005"/>
    <n v="445.73955640000003"/>
    <n v="305.61748549999999"/>
    <n v="34.257881599999997"/>
    <x v="0"/>
    <x v="758"/>
    <x v="2"/>
  </r>
  <r>
    <n v="769"/>
    <x v="0"/>
    <x v="3"/>
    <n v="30.638846860000001"/>
    <n v="540.41016549999995"/>
    <n v="490.1188593"/>
    <n v="160.5057845"/>
    <n v="36.401076359999998"/>
    <x v="2"/>
    <x v="759"/>
    <x v="0"/>
  </r>
  <r>
    <n v="770"/>
    <x v="0"/>
    <x v="4"/>
    <n v="51.258469699999999"/>
    <n v="397.80258900000001"/>
    <n v="678.14838940000004"/>
    <n v="199.90471840000001"/>
    <n v="28.678392559999999"/>
    <x v="0"/>
    <x v="760"/>
    <x v="0"/>
  </r>
  <r>
    <n v="771"/>
    <x v="2"/>
    <x v="4"/>
    <n v="60.28682611"/>
    <n v="379.39997990000001"/>
    <n v="587.59063849999995"/>
    <n v="201.7433441"/>
    <n v="20.983413729999999"/>
    <x v="2"/>
    <x v="761"/>
    <x v="2"/>
  </r>
  <r>
    <n v="772"/>
    <x v="2"/>
    <x v="1"/>
    <n v="36.832511529999998"/>
    <n v="537.34932690000005"/>
    <n v="279.3300271"/>
    <n v="299.84251089999998"/>
    <n v="31.33615975"/>
    <x v="1"/>
    <x v="762"/>
    <x v="2"/>
  </r>
  <r>
    <n v="773"/>
    <x v="1"/>
    <x v="4"/>
    <n v="57.236105870000003"/>
    <n v="460.2295886"/>
    <n v="479.6699711"/>
    <n v="195.5938079"/>
    <n v="30.64314345"/>
    <x v="1"/>
    <x v="763"/>
    <x v="1"/>
  </r>
  <r>
    <n v="774"/>
    <x v="1"/>
    <x v="2"/>
    <n v="56.674607819999999"/>
    <n v="681.99488510000003"/>
    <n v="482.5272238"/>
    <n v="279.42536469999999"/>
    <n v="28.271668129999998"/>
    <x v="0"/>
    <x v="764"/>
    <x v="1"/>
  </r>
  <r>
    <n v="775"/>
    <x v="5"/>
    <x v="0"/>
    <n v="37.879101079999998"/>
    <n v="595.2598395"/>
    <n v="452.59939980000001"/>
    <n v="220.33637350000001"/>
    <n v="29.332439390000001"/>
    <x v="1"/>
    <x v="765"/>
    <x v="4"/>
  </r>
  <r>
    <n v="776"/>
    <x v="1"/>
    <x v="2"/>
    <n v="189.77230130000001"/>
    <n v="547.36931370000002"/>
    <n v="554.37709289999998"/>
    <n v="151.9057569"/>
    <n v="30.718402229999999"/>
    <x v="0"/>
    <x v="766"/>
    <x v="1"/>
  </r>
  <r>
    <n v="777"/>
    <x v="0"/>
    <x v="3"/>
    <n v="52.726977939999998"/>
    <n v="552.30790039999999"/>
    <n v="310.9071687"/>
    <n v="206.73537339999999"/>
    <n v="31.808809960000001"/>
    <x v="2"/>
    <x v="767"/>
    <x v="0"/>
  </r>
  <r>
    <n v="778"/>
    <x v="3"/>
    <x v="3"/>
    <n v="56.503817890000001"/>
    <n v="633.08671800000002"/>
    <n v="430.96369049999998"/>
    <n v="194.07456389999999"/>
    <n v="31.599048549999999"/>
    <x v="1"/>
    <x v="768"/>
    <x v="3"/>
  </r>
  <r>
    <n v="780"/>
    <x v="1"/>
    <x v="3"/>
    <n v="51.501361160000002"/>
    <n v="549.97664380000003"/>
    <n v="561.54908220000004"/>
    <n v="217.88613849999999"/>
    <n v="31.921394169999999"/>
    <x v="0"/>
    <x v="769"/>
    <x v="1"/>
  </r>
  <r>
    <n v="781"/>
    <x v="5"/>
    <x v="2"/>
    <n v="32.951214460000003"/>
    <n v="401.97388239999998"/>
    <n v="497.93033680000002"/>
    <n v="201.10513750000001"/>
    <n v="28.574845759999999"/>
    <x v="1"/>
    <x v="770"/>
    <x v="4"/>
  </r>
  <r>
    <n v="782"/>
    <x v="0"/>
    <x v="4"/>
    <n v="27.230087919999999"/>
    <n v="806.19469649999996"/>
    <n v="445.39293600000002"/>
    <n v="227.82108529999999"/>
    <n v="33.21012751"/>
    <x v="2"/>
    <x v="771"/>
    <x v="0"/>
  </r>
  <r>
    <n v="783"/>
    <x v="3"/>
    <x v="2"/>
    <n v="51.408284270000003"/>
    <n v="389.68172429999998"/>
    <n v="465.60704720000001"/>
    <n v="209.66763900000001"/>
    <n v="26.862785819999999"/>
    <x v="2"/>
    <x v="772"/>
    <x v="3"/>
  </r>
  <r>
    <n v="784"/>
    <x v="4"/>
    <x v="1"/>
    <n v="61.005976070000003"/>
    <n v="468.7457263"/>
    <n v="568.84885469999995"/>
    <n v="167.44485510000001"/>
    <n v="30.365290959999999"/>
    <x v="2"/>
    <x v="773"/>
    <x v="4"/>
  </r>
  <r>
    <n v="785"/>
    <x v="4"/>
    <x v="2"/>
    <n v="52.529368140000003"/>
    <n v="334.52717239999998"/>
    <n v="484.0680941"/>
    <n v="238.41669959999999"/>
    <n v="21.88130709"/>
    <x v="2"/>
    <x v="774"/>
    <x v="4"/>
  </r>
  <r>
    <n v="786"/>
    <x v="3"/>
    <x v="4"/>
    <n v="49.36553936"/>
    <n v="553.87981590000004"/>
    <n v="354.9782945"/>
    <n v="168.78008600000001"/>
    <n v="28.15044765"/>
    <x v="2"/>
    <x v="775"/>
    <x v="3"/>
  </r>
  <r>
    <n v="787"/>
    <x v="0"/>
    <x v="0"/>
    <n v="48.124658799999999"/>
    <n v="515.11104369999998"/>
    <n v="331.9802899"/>
    <n v="45.016473859999998"/>
    <n v="32.837443610000001"/>
    <x v="1"/>
    <x v="776"/>
    <x v="0"/>
  </r>
  <r>
    <n v="788"/>
    <x v="5"/>
    <x v="1"/>
    <n v="40.574346089999999"/>
    <n v="503.25760000000002"/>
    <n v="301.24350939999999"/>
    <n v="206.43264740000001"/>
    <n v="24.831325669999998"/>
    <x v="0"/>
    <x v="777"/>
    <x v="4"/>
  </r>
  <r>
    <n v="789"/>
    <x v="3"/>
    <x v="0"/>
    <n v="47.781390960000003"/>
    <n v="326.09343689999997"/>
    <n v="480.48430000000002"/>
    <n v="172.29631359999999"/>
    <n v="29.664100000000001"/>
    <x v="1"/>
    <x v="778"/>
    <x v="3"/>
  </r>
  <r>
    <n v="790"/>
    <x v="2"/>
    <x v="2"/>
    <n v="54.216844680000001"/>
    <n v="611.2905667"/>
    <n v="576.89542029999996"/>
    <n v="219.10652519999999"/>
    <n v="17.974652249999998"/>
    <x v="2"/>
    <x v="779"/>
    <x v="2"/>
  </r>
  <r>
    <n v="791"/>
    <x v="2"/>
    <x v="0"/>
    <n v="45.647777670000004"/>
    <n v="419.25645989999998"/>
    <n v="467.22145399999999"/>
    <n v="299.94358679999999"/>
    <n v="23.159629460000001"/>
    <x v="2"/>
    <x v="780"/>
    <x v="2"/>
  </r>
  <r>
    <n v="792"/>
    <x v="4"/>
    <x v="2"/>
    <n v="57.505868540000002"/>
    <n v="485.09948009999999"/>
    <n v="425.54490179999999"/>
    <n v="301.38698470000003"/>
    <n v="24.467627220000001"/>
    <x v="1"/>
    <x v="781"/>
    <x v="4"/>
  </r>
  <r>
    <n v="793"/>
    <x v="1"/>
    <x v="2"/>
    <n v="51.959750339999999"/>
    <n v="593.15712689999998"/>
    <n v="411.128399"/>
    <n v="191.7438539"/>
    <n v="30.50875525"/>
    <x v="2"/>
    <x v="782"/>
    <x v="1"/>
  </r>
  <r>
    <n v="794"/>
    <x v="5"/>
    <x v="0"/>
    <n v="53.169794179999997"/>
    <n v="526.12666839999997"/>
    <n v="611.18845290000002"/>
    <n v="158.6742414"/>
    <n v="31.66704506"/>
    <x v="1"/>
    <x v="783"/>
    <x v="4"/>
  </r>
  <r>
    <n v="795"/>
    <x v="4"/>
    <x v="1"/>
    <n v="50.539879999999997"/>
    <n v="533.19425569999999"/>
    <n v="708.53202099999999"/>
    <n v="229.23416409999999"/>
    <n v="29.719722170000001"/>
    <x v="1"/>
    <x v="784"/>
    <x v="4"/>
  </r>
  <r>
    <n v="796"/>
    <x v="1"/>
    <x v="4"/>
    <n v="44.732445669999997"/>
    <n v="579.91788199999996"/>
    <n v="407.35284910000001"/>
    <n v="181.48872040000001"/>
    <n v="28.087033089999998"/>
    <x v="1"/>
    <x v="785"/>
    <x v="1"/>
  </r>
  <r>
    <n v="797"/>
    <x v="1"/>
    <x v="2"/>
    <n v="56.593805860000003"/>
    <n v="542.87906399999997"/>
    <n v="616.60986249999996"/>
    <n v="219.58882610000001"/>
    <n v="28.10449126"/>
    <x v="2"/>
    <x v="786"/>
    <x v="1"/>
  </r>
  <r>
    <n v="798"/>
    <x v="2"/>
    <x v="2"/>
    <n v="46.13523283"/>
    <n v="465.88920969999998"/>
    <n v="483.36154979999998"/>
    <n v="166.95696190000001"/>
    <n v="33.580228750000003"/>
    <x v="2"/>
    <x v="787"/>
    <x v="2"/>
  </r>
  <r>
    <n v="799"/>
    <x v="0"/>
    <x v="4"/>
    <n v="53.39514484"/>
    <n v="483.3530872"/>
    <n v="454.50852839999999"/>
    <n v="212.5346208"/>
    <n v="31.06409923"/>
    <x v="0"/>
    <x v="788"/>
    <x v="0"/>
  </r>
  <r>
    <n v="800"/>
    <x v="2"/>
    <x v="2"/>
    <n v="43.542286490000002"/>
    <n v="521.18786790000001"/>
    <n v="660.50571390000005"/>
    <n v="159.40129239999999"/>
    <n v="28.330272019999999"/>
    <x v="2"/>
    <x v="789"/>
    <x v="2"/>
  </r>
  <r>
    <n v="801"/>
    <x v="0"/>
    <x v="4"/>
    <n v="40.892961769999999"/>
    <n v="410.44439060000002"/>
    <n v="478.78011350000003"/>
    <n v="259.21267080000001"/>
    <n v="36.466497480000001"/>
    <x v="1"/>
    <x v="790"/>
    <x v="0"/>
  </r>
  <r>
    <n v="802"/>
    <x v="2"/>
    <x v="1"/>
    <n v="50.918647460000003"/>
    <n v="599.60086590000003"/>
    <n v="515.56373269999995"/>
    <n v="170.5011155"/>
    <n v="39.749875199999998"/>
    <x v="2"/>
    <x v="791"/>
    <x v="2"/>
  </r>
  <r>
    <n v="803"/>
    <x v="3"/>
    <x v="3"/>
    <n v="31.147999479999999"/>
    <n v="528.86539310000001"/>
    <n v="509.79287190000002"/>
    <n v="233.05512680000001"/>
    <n v="23.771287749999999"/>
    <x v="2"/>
    <x v="792"/>
    <x v="3"/>
  </r>
  <r>
    <n v="804"/>
    <x v="2"/>
    <x v="0"/>
    <n v="47.037325559999999"/>
    <n v="507.4776268"/>
    <n v="284.92807599999998"/>
    <n v="136.76163579999999"/>
    <n v="32.612550349999999"/>
    <x v="2"/>
    <x v="793"/>
    <x v="2"/>
  </r>
  <r>
    <n v="805"/>
    <x v="1"/>
    <x v="2"/>
    <n v="33.936229939999997"/>
    <n v="619.24965589999999"/>
    <n v="514.60933780000005"/>
    <n v="239.05869279999999"/>
    <n v="45.44944804"/>
    <x v="2"/>
    <x v="794"/>
    <x v="1"/>
  </r>
  <r>
    <n v="806"/>
    <x v="5"/>
    <x v="2"/>
    <n v="57.792340340000003"/>
    <n v="487.98863569999997"/>
    <n v="412.47695709999999"/>
    <n v="151.68079650000001"/>
    <n v="31.401027710000001"/>
    <x v="2"/>
    <x v="795"/>
    <x v="4"/>
  </r>
  <r>
    <n v="807"/>
    <x v="2"/>
    <x v="1"/>
    <n v="60.501105959999997"/>
    <n v="481.75790030000002"/>
    <n v="309.46162320000002"/>
    <n v="213.05884030000001"/>
    <n v="30.577213180000001"/>
    <x v="0"/>
    <x v="796"/>
    <x v="2"/>
  </r>
  <r>
    <n v="808"/>
    <x v="0"/>
    <x v="0"/>
    <n v="41.360487790000001"/>
    <n v="451.53712359999997"/>
    <n v="417.94355030000003"/>
    <n v="251.1600487"/>
    <n v="29.721330300000002"/>
    <x v="0"/>
    <x v="797"/>
    <x v="0"/>
  </r>
  <r>
    <n v="809"/>
    <x v="1"/>
    <x v="1"/>
    <n v="54.283129619999997"/>
    <n v="534.30670090000001"/>
    <n v="416.9533356"/>
    <n v="190.0008551"/>
    <n v="32.45090759"/>
    <x v="2"/>
    <x v="798"/>
    <x v="1"/>
  </r>
  <r>
    <n v="810"/>
    <x v="2"/>
    <x v="0"/>
    <n v="58.991357139999998"/>
    <n v="530.84501079999995"/>
    <n v="603.58590470000001"/>
    <n v="148.54165449999999"/>
    <n v="33.774495829999999"/>
    <x v="2"/>
    <x v="799"/>
    <x v="2"/>
  </r>
  <r>
    <n v="811"/>
    <x v="2"/>
    <x v="0"/>
    <n v="59.024692229999999"/>
    <n v="433.37157989999997"/>
    <n v="352.3452461"/>
    <n v="224.84062539999999"/>
    <n v="23.776165630000001"/>
    <x v="1"/>
    <x v="800"/>
    <x v="2"/>
  </r>
  <r>
    <n v="812"/>
    <x v="2"/>
    <x v="4"/>
    <n v="52.144508340000002"/>
    <n v="482.23060229999999"/>
    <n v="385.21830729999999"/>
    <n v="157.95093009999999"/>
    <n v="29.867581860000001"/>
    <x v="1"/>
    <x v="801"/>
    <x v="2"/>
  </r>
  <r>
    <n v="813"/>
    <x v="5"/>
    <x v="2"/>
    <n v="57.34304676"/>
    <n v="434.03977309999999"/>
    <n v="508.24659129999998"/>
    <n v="179.78772000000001"/>
    <n v="18.652510679999999"/>
    <x v="1"/>
    <x v="802"/>
    <x v="4"/>
  </r>
  <r>
    <n v="814"/>
    <x v="2"/>
    <x v="1"/>
    <n v="43.506686879999997"/>
    <n v="429.51315460000001"/>
    <n v="320.90474740000002"/>
    <n v="213.273133"/>
    <n v="28.953416919999999"/>
    <x v="1"/>
    <x v="803"/>
    <x v="2"/>
  </r>
  <r>
    <n v="815"/>
    <x v="5"/>
    <x v="1"/>
    <n v="50.831224659999997"/>
    <n v="327.01021680000002"/>
    <n v="400.91918900000002"/>
    <n v="268.03380179999999"/>
    <n v="25.48655703"/>
    <x v="2"/>
    <x v="804"/>
    <x v="4"/>
  </r>
  <r>
    <n v="816"/>
    <x v="4"/>
    <x v="4"/>
    <n v="45.328965930000003"/>
    <n v="476.90897460000002"/>
    <n v="480.48430000000002"/>
    <n v="201.32766770000001"/>
    <n v="31.695887899999999"/>
    <x v="1"/>
    <x v="805"/>
    <x v="4"/>
  </r>
  <r>
    <n v="817"/>
    <x v="1"/>
    <x v="2"/>
    <n v="42.662120260000002"/>
    <n v="329.7786734"/>
    <n v="590.40137519999996"/>
    <n v="201.1428755"/>
    <n v="21.718097360000002"/>
    <x v="2"/>
    <x v="806"/>
    <x v="1"/>
  </r>
  <r>
    <n v="818"/>
    <x v="2"/>
    <x v="2"/>
    <n v="50.360633909999997"/>
    <n v="453.71843139999999"/>
    <n v="443.83642550000002"/>
    <n v="236.87564470000001"/>
    <n v="27.438413449999999"/>
    <x v="2"/>
    <x v="807"/>
    <x v="2"/>
  </r>
  <r>
    <n v="819"/>
    <x v="2"/>
    <x v="2"/>
    <n v="53.475303760000003"/>
    <n v="438.73053540000001"/>
    <n v="478.08985860000001"/>
    <n v="202.51859479999999"/>
    <n v="34.832721249999999"/>
    <x v="2"/>
    <x v="808"/>
    <x v="2"/>
  </r>
  <r>
    <n v="820"/>
    <x v="2"/>
    <x v="4"/>
    <n v="61.635087679999998"/>
    <n v="605.18950570000004"/>
    <n v="589.92123839999999"/>
    <n v="231.77651"/>
    <n v="26.618334239999999"/>
    <x v="2"/>
    <x v="809"/>
    <x v="2"/>
  </r>
  <r>
    <n v="821"/>
    <x v="0"/>
    <x v="3"/>
    <n v="52.651555270000003"/>
    <n v="398.5065194"/>
    <n v="393.32773400000002"/>
    <n v="253.92667729999999"/>
    <n v="20.475321109999999"/>
    <x v="2"/>
    <x v="810"/>
    <x v="0"/>
  </r>
  <r>
    <n v="822"/>
    <x v="2"/>
    <x v="4"/>
    <n v="56.419305350000002"/>
    <n v="423.88136150000003"/>
    <n v="442.56155899999999"/>
    <n v="183.61314250000001"/>
    <n v="31.28766577"/>
    <x v="0"/>
    <x v="811"/>
    <x v="2"/>
  </r>
  <r>
    <n v="823"/>
    <x v="5"/>
    <x v="2"/>
    <n v="282.66415869999997"/>
    <n v="1847.3903439999999"/>
    <n v="353.24064010000001"/>
    <n v="36.249468299999997"/>
    <n v="27.067355030000002"/>
    <x v="2"/>
    <x v="812"/>
    <x v="4"/>
  </r>
  <r>
    <n v="824"/>
    <x v="2"/>
    <x v="0"/>
    <n v="76.875343659999999"/>
    <n v="441.98563480000001"/>
    <n v="352.97955350000001"/>
    <n v="159.10364530000001"/>
    <n v="29.070572819999999"/>
    <x v="2"/>
    <x v="813"/>
    <x v="2"/>
  </r>
  <r>
    <n v="825"/>
    <x v="3"/>
    <x v="1"/>
    <n v="31.899675970000001"/>
    <n v="636.92547969999998"/>
    <n v="369.5300527"/>
    <n v="260.4341005"/>
    <n v="26.350652069999999"/>
    <x v="2"/>
    <x v="814"/>
    <x v="3"/>
  </r>
  <r>
    <n v="826"/>
    <x v="1"/>
    <x v="2"/>
    <n v="43.120661329999997"/>
    <n v="386.14326269999998"/>
    <n v="420.90115309999999"/>
    <n v="198.3117609"/>
    <n v="39.871983720000003"/>
    <x v="2"/>
    <x v="815"/>
    <x v="1"/>
  </r>
  <r>
    <n v="827"/>
    <x v="2"/>
    <x v="1"/>
    <n v="64.740560520000002"/>
    <n v="462.05955010000002"/>
    <n v="433.8245359"/>
    <n v="183.0434865"/>
    <n v="22.209636320000001"/>
    <x v="0"/>
    <x v="816"/>
    <x v="2"/>
  </r>
  <r>
    <n v="828"/>
    <x v="1"/>
    <x v="1"/>
    <n v="50.539879999999997"/>
    <n v="533.20652489999998"/>
    <n v="514.63585809999995"/>
    <n v="258.33924969999998"/>
    <n v="44.167478060000001"/>
    <x v="0"/>
    <x v="817"/>
    <x v="1"/>
  </r>
  <r>
    <n v="829"/>
    <x v="3"/>
    <x v="3"/>
    <n v="58.85803138"/>
    <n v="588.11833430000001"/>
    <n v="373.05396619999999"/>
    <n v="194.93375420000001"/>
    <n v="28.046817350000001"/>
    <x v="1"/>
    <x v="818"/>
    <x v="3"/>
  </r>
  <r>
    <n v="830"/>
    <x v="3"/>
    <x v="2"/>
    <n v="52.300095239999997"/>
    <n v="461.97584440000003"/>
    <n v="518.35592110000005"/>
    <n v="95.373339709999996"/>
    <n v="30.91723288"/>
    <x v="1"/>
    <x v="819"/>
    <x v="3"/>
  </r>
  <r>
    <n v="831"/>
    <x v="0"/>
    <x v="2"/>
    <n v="71.052024009999997"/>
    <n v="308.19003989999999"/>
    <n v="538.200155"/>
    <n v="124.7348969"/>
    <n v="27.126017910000002"/>
    <x v="2"/>
    <x v="820"/>
    <x v="0"/>
  </r>
  <r>
    <n v="832"/>
    <x v="2"/>
    <x v="1"/>
    <n v="38.869455729999999"/>
    <n v="484.98957780000001"/>
    <n v="423.86133810000001"/>
    <n v="220.932401"/>
    <n v="26.916832200000002"/>
    <x v="2"/>
    <x v="821"/>
    <x v="2"/>
  </r>
  <r>
    <n v="833"/>
    <x v="4"/>
    <x v="2"/>
    <n v="62.218005529999999"/>
    <n v="635.20284760000004"/>
    <n v="383.43305129999999"/>
    <n v="199.07849999999999"/>
    <n v="26.07585048"/>
    <x v="0"/>
    <x v="822"/>
    <x v="4"/>
  </r>
  <r>
    <n v="834"/>
    <x v="0"/>
    <x v="0"/>
    <n v="67.495813049999995"/>
    <n v="528.21874070000001"/>
    <n v="490.20948379999999"/>
    <n v="272.73282390000003"/>
    <n v="33.006289809999998"/>
    <x v="0"/>
    <x v="823"/>
    <x v="0"/>
  </r>
  <r>
    <n v="835"/>
    <x v="2"/>
    <x v="3"/>
    <n v="39.85581123"/>
    <n v="523.64178619999996"/>
    <n v="455.64990440000003"/>
    <n v="163.33656579999999"/>
    <n v="22.94600153"/>
    <x v="1"/>
    <x v="824"/>
    <x v="2"/>
  </r>
  <r>
    <n v="836"/>
    <x v="2"/>
    <x v="0"/>
    <n v="57.828702440000001"/>
    <n v="393.6982008"/>
    <n v="506.44221950000002"/>
    <n v="184.52496189999999"/>
    <n v="31.820542719999999"/>
    <x v="1"/>
    <x v="825"/>
    <x v="2"/>
  </r>
  <r>
    <n v="837"/>
    <x v="5"/>
    <x v="2"/>
    <n v="40.345020140000003"/>
    <n v="383.432841"/>
    <n v="668.38397239999995"/>
    <n v="155.77484630000001"/>
    <n v="19.07753632"/>
    <x v="1"/>
    <x v="826"/>
    <x v="4"/>
  </r>
  <r>
    <n v="839"/>
    <x v="0"/>
    <x v="2"/>
    <n v="47.434120700000001"/>
    <n v="357.36210779999999"/>
    <n v="403.29233260000001"/>
    <n v="105.4048049"/>
    <n v="34.245713029999997"/>
    <x v="2"/>
    <x v="827"/>
    <x v="0"/>
  </r>
  <r>
    <n v="840"/>
    <x v="2"/>
    <x v="1"/>
    <n v="25.972460649999999"/>
    <n v="578.13622220000002"/>
    <n v="373.09324659999999"/>
    <n v="180.71576680000001"/>
    <n v="23.627404460000001"/>
    <x v="1"/>
    <x v="828"/>
    <x v="2"/>
  </r>
  <r>
    <n v="841"/>
    <x v="2"/>
    <x v="1"/>
    <n v="54.242342600000001"/>
    <n v="415.33537510000002"/>
    <n v="377.73580420000002"/>
    <n v="197.4065568"/>
    <n v="33.393713009999999"/>
    <x v="0"/>
    <x v="829"/>
    <x v="2"/>
  </r>
  <r>
    <n v="842"/>
    <x v="0"/>
    <x v="0"/>
    <n v="51.43339168"/>
    <n v="497.53427190000002"/>
    <n v="304.46804309999999"/>
    <n v="193.18345790000001"/>
    <n v="30.256927050000002"/>
    <x v="1"/>
    <x v="830"/>
    <x v="0"/>
  </r>
  <r>
    <n v="843"/>
    <x v="5"/>
    <x v="3"/>
    <n v="64.79078973"/>
    <n v="311.42330809999999"/>
    <n v="591.92923299999995"/>
    <n v="307.47766319999999"/>
    <n v="37.99213228"/>
    <x v="1"/>
    <x v="831"/>
    <x v="4"/>
  </r>
  <r>
    <n v="844"/>
    <x v="3"/>
    <x v="4"/>
    <n v="56.111436550000001"/>
    <n v="460.61981320000001"/>
    <n v="212.00654170000001"/>
    <n v="291.6742289"/>
    <n v="25.72396809"/>
    <x v="2"/>
    <x v="832"/>
    <x v="3"/>
  </r>
  <r>
    <n v="845"/>
    <x v="0"/>
    <x v="1"/>
    <n v="50.539879999999997"/>
    <n v="381.41394530000002"/>
    <n v="538.57257809999999"/>
    <n v="162.4550265"/>
    <n v="44.07992952"/>
    <x v="0"/>
    <x v="833"/>
    <x v="0"/>
  </r>
  <r>
    <n v="846"/>
    <x v="2"/>
    <x v="2"/>
    <n v="51.070423820000002"/>
    <n v="267.80435829999999"/>
    <n v="375.8323312"/>
    <n v="97.803165269999994"/>
    <n v="18.04608923"/>
    <x v="0"/>
    <x v="834"/>
    <x v="2"/>
  </r>
  <r>
    <n v="847"/>
    <x v="3"/>
    <x v="0"/>
    <n v="48.944699479999997"/>
    <n v="554.18420890000004"/>
    <n v="418.51137419999998"/>
    <n v="195.03998240000001"/>
    <n v="28.352481000000001"/>
    <x v="2"/>
    <x v="835"/>
    <x v="3"/>
  </r>
  <r>
    <n v="848"/>
    <x v="1"/>
    <x v="0"/>
    <n v="48.156433489999998"/>
    <n v="664.11595390000002"/>
    <n v="372.24148300000002"/>
    <n v="218.82550689999999"/>
    <n v="21.507151449999999"/>
    <x v="2"/>
    <x v="836"/>
    <x v="1"/>
  </r>
  <r>
    <n v="849"/>
    <x v="4"/>
    <x v="4"/>
    <n v="45.604112890000003"/>
    <n v="612.94735890000004"/>
    <n v="653.50375919999999"/>
    <n v="156.97579630000001"/>
    <n v="39.255270879999998"/>
    <x v="2"/>
    <x v="837"/>
    <x v="4"/>
  </r>
  <r>
    <n v="850"/>
    <x v="5"/>
    <x v="2"/>
    <n v="27.922490839999998"/>
    <n v="568.16906900000004"/>
    <n v="481.9578722"/>
    <n v="159.45121829999999"/>
    <n v="28.691495029999999"/>
    <x v="2"/>
    <x v="838"/>
    <x v="4"/>
  </r>
  <r>
    <n v="851"/>
    <x v="1"/>
    <x v="3"/>
    <n v="47.798053729999999"/>
    <n v="458.58788320000002"/>
    <n v="574.84542299999998"/>
    <n v="279.1277485"/>
    <n v="29.141574609999999"/>
    <x v="1"/>
    <x v="839"/>
    <x v="1"/>
  </r>
  <r>
    <n v="852"/>
    <x v="1"/>
    <x v="2"/>
    <n v="29.321452740000002"/>
    <n v="580.58902290000003"/>
    <n v="636.06322299999999"/>
    <n v="187.12242140000001"/>
    <n v="32.216190490000002"/>
    <x v="0"/>
    <x v="840"/>
    <x v="1"/>
  </r>
  <r>
    <n v="853"/>
    <x v="2"/>
    <x v="3"/>
    <n v="50.539879999999997"/>
    <n v="622.38531990000001"/>
    <n v="499.60865690000003"/>
    <n v="233.1125093"/>
    <n v="29.975974069999999"/>
    <x v="0"/>
    <x v="841"/>
    <x v="2"/>
  </r>
  <r>
    <n v="854"/>
    <x v="4"/>
    <x v="2"/>
    <n v="49.327962200000002"/>
    <n v="513.68218300000001"/>
    <n v="336.5251475"/>
    <n v="153.48471509999999"/>
    <n v="27.031192220000001"/>
    <x v="1"/>
    <x v="842"/>
    <x v="4"/>
  </r>
  <r>
    <n v="855"/>
    <x v="1"/>
    <x v="2"/>
    <n v="41.056673770000003"/>
    <n v="381.56398280000002"/>
    <n v="453.52287000000001"/>
    <n v="197.15297709999999"/>
    <n v="23.716763749999998"/>
    <x v="0"/>
    <x v="843"/>
    <x v="1"/>
  </r>
  <r>
    <n v="857"/>
    <x v="4"/>
    <x v="0"/>
    <n v="47.95064962"/>
    <n v="670.26964880000003"/>
    <n v="419.57950060000002"/>
    <n v="166.23133809999999"/>
    <n v="31.89416816"/>
    <x v="2"/>
    <x v="844"/>
    <x v="4"/>
  </r>
  <r>
    <n v="858"/>
    <x v="4"/>
    <x v="2"/>
    <n v="50.068682549999998"/>
    <n v="492.52558320000003"/>
    <n v="468.64514489999999"/>
    <n v="257.76502060000001"/>
    <n v="33.476886180000001"/>
    <x v="2"/>
    <x v="845"/>
    <x v="4"/>
  </r>
  <r>
    <n v="859"/>
    <x v="1"/>
    <x v="4"/>
    <n v="60.844795830000002"/>
    <n v="167.524428"/>
    <n v="463.90132290000003"/>
    <n v="130.5561495"/>
    <n v="39.56363425"/>
    <x v="2"/>
    <x v="846"/>
    <x v="1"/>
  </r>
  <r>
    <n v="860"/>
    <x v="4"/>
    <x v="2"/>
    <n v="88.16463272"/>
    <n v="353.10765359999999"/>
    <n v="529.45309929999996"/>
    <n v="215.0028413"/>
    <n v="19.13115548"/>
    <x v="1"/>
    <x v="847"/>
    <x v="4"/>
  </r>
  <r>
    <n v="861"/>
    <x v="1"/>
    <x v="1"/>
    <n v="54.801461359999998"/>
    <n v="457.55512970000001"/>
    <n v="546.87651530000005"/>
    <n v="182.2439172"/>
    <n v="29.661414010000001"/>
    <x v="1"/>
    <x v="848"/>
    <x v="1"/>
  </r>
  <r>
    <n v="862"/>
    <x v="1"/>
    <x v="0"/>
    <n v="77.308672329999993"/>
    <n v="603.58252379999999"/>
    <n v="463.90257880000001"/>
    <n v="220.74122410000001"/>
    <n v="35.95868918"/>
    <x v="1"/>
    <x v="849"/>
    <x v="1"/>
  </r>
  <r>
    <n v="863"/>
    <x v="2"/>
    <x v="1"/>
    <n v="53.773507029999998"/>
    <n v="472.68776480000002"/>
    <n v="528.41627019999999"/>
    <n v="182.9211684"/>
    <n v="29.377387880000001"/>
    <x v="0"/>
    <x v="850"/>
    <x v="2"/>
  </r>
  <r>
    <n v="864"/>
    <x v="2"/>
    <x v="0"/>
    <n v="48.195102110000001"/>
    <n v="605.44316549999996"/>
    <n v="414.07681739999998"/>
    <n v="243.3596531"/>
    <n v="18.30913773"/>
    <x v="0"/>
    <x v="851"/>
    <x v="2"/>
  </r>
  <r>
    <n v="865"/>
    <x v="1"/>
    <x v="1"/>
    <n v="42.208483479999998"/>
    <n v="447.38376460000001"/>
    <n v="637.77357910000001"/>
    <n v="153.0148701"/>
    <n v="23.544802130000001"/>
    <x v="1"/>
    <x v="852"/>
    <x v="1"/>
  </r>
  <r>
    <n v="866"/>
    <x v="3"/>
    <x v="2"/>
    <n v="48.05668455"/>
    <n v="303.57074779999999"/>
    <n v="412.13864539999997"/>
    <n v="257.87765960000002"/>
    <n v="31.642849250000001"/>
    <x v="1"/>
    <x v="853"/>
    <x v="3"/>
  </r>
  <r>
    <n v="867"/>
    <x v="5"/>
    <x v="2"/>
    <n v="205.68898279999999"/>
    <n v="1803.3755369999999"/>
    <n v="623.66237820000003"/>
    <n v="198.55986530000001"/>
    <n v="31.460986470000002"/>
    <x v="2"/>
    <x v="854"/>
    <x v="4"/>
  </r>
  <r>
    <n v="868"/>
    <x v="0"/>
    <x v="2"/>
    <n v="52.68661427"/>
    <n v="534.49450019999995"/>
    <n v="302.87194899999997"/>
    <n v="133.5748735"/>
    <n v="33.362598490000003"/>
    <x v="1"/>
    <x v="855"/>
    <x v="0"/>
  </r>
  <r>
    <n v="869"/>
    <x v="2"/>
    <x v="4"/>
    <n v="156.0580889"/>
    <n v="526.1950349"/>
    <n v="434.35112909999998"/>
    <n v="234.01077280000001"/>
    <n v="26.094955280000001"/>
    <x v="1"/>
    <x v="856"/>
    <x v="2"/>
  </r>
  <r>
    <n v="870"/>
    <x v="2"/>
    <x v="1"/>
    <n v="28.377807789999999"/>
    <n v="374.4892251"/>
    <n v="440.2826192"/>
    <n v="199.07849999999999"/>
    <n v="31.299416170000001"/>
    <x v="2"/>
    <x v="857"/>
    <x v="2"/>
  </r>
  <r>
    <n v="871"/>
    <x v="2"/>
    <x v="3"/>
    <n v="49.814419940000001"/>
    <n v="464.88037980000001"/>
    <n v="513.47901539999998"/>
    <n v="114.6081037"/>
    <n v="25.270683460000001"/>
    <x v="1"/>
    <x v="858"/>
    <x v="2"/>
  </r>
  <r>
    <n v="872"/>
    <x v="2"/>
    <x v="2"/>
    <n v="60.761463130000003"/>
    <n v="768.46742380000001"/>
    <n v="583.41801640000006"/>
    <n v="216.62340420000001"/>
    <n v="31.299789969999999"/>
    <x v="1"/>
    <x v="859"/>
    <x v="2"/>
  </r>
  <r>
    <n v="873"/>
    <x v="1"/>
    <x v="1"/>
    <n v="46.008881479999999"/>
    <n v="376.67311740000002"/>
    <n v="330.07257559999999"/>
    <n v="250.3297858"/>
    <n v="30.26606099"/>
    <x v="0"/>
    <x v="860"/>
    <x v="1"/>
  </r>
  <r>
    <n v="874"/>
    <x v="2"/>
    <x v="1"/>
    <n v="43.471032280000003"/>
    <n v="566.07233940000003"/>
    <n v="347.042035"/>
    <n v="264.106787"/>
    <n v="25.8956999"/>
    <x v="1"/>
    <x v="861"/>
    <x v="2"/>
  </r>
  <r>
    <n v="875"/>
    <x v="1"/>
    <x v="2"/>
    <n v="36.222992269999999"/>
    <n v="290.33243010000001"/>
    <n v="311.77103190000003"/>
    <n v="181.0824059"/>
    <n v="37.790918150000003"/>
    <x v="0"/>
    <x v="862"/>
    <x v="1"/>
  </r>
  <r>
    <n v="876"/>
    <x v="2"/>
    <x v="2"/>
    <n v="31.420079579999999"/>
    <n v="586.37918249999996"/>
    <n v="638.42210369999998"/>
    <n v="207.26590279999999"/>
    <n v="21.47182025"/>
    <x v="1"/>
    <x v="863"/>
    <x v="2"/>
  </r>
  <r>
    <n v="877"/>
    <x v="2"/>
    <x v="1"/>
    <n v="58.313492670000002"/>
    <n v="410.76746100000003"/>
    <n v="515.71259310000005"/>
    <n v="202.52681709999999"/>
    <n v="29.29189508"/>
    <x v="0"/>
    <x v="864"/>
    <x v="2"/>
  </r>
  <r>
    <n v="878"/>
    <x v="5"/>
    <x v="4"/>
    <n v="48.185216699999998"/>
    <n v="540.2088258"/>
    <n v="349.87545499999999"/>
    <n v="274.49013159999998"/>
    <n v="25.785472179999999"/>
    <x v="1"/>
    <x v="865"/>
    <x v="4"/>
  </r>
  <r>
    <n v="879"/>
    <x v="3"/>
    <x v="2"/>
    <n v="57.720215619999998"/>
    <n v="370.84743980000002"/>
    <n v="426.82861509999998"/>
    <n v="159.47557090000001"/>
    <n v="39.171010180000003"/>
    <x v="0"/>
    <x v="866"/>
    <x v="3"/>
  </r>
  <r>
    <n v="880"/>
    <x v="2"/>
    <x v="2"/>
    <n v="65.313237450000003"/>
    <n v="529.08528000000001"/>
    <n v="621.81136749999996"/>
    <n v="176.76702739999999"/>
    <n v="32.991990039999997"/>
    <x v="2"/>
    <x v="867"/>
    <x v="2"/>
  </r>
  <r>
    <n v="881"/>
    <x v="5"/>
    <x v="0"/>
    <n v="59.212476850000002"/>
    <n v="503.25760000000002"/>
    <n v="446.62569239999999"/>
    <n v="158.26398449999999"/>
    <n v="26.753448120000002"/>
    <x v="2"/>
    <x v="868"/>
    <x v="4"/>
  </r>
  <r>
    <n v="882"/>
    <x v="4"/>
    <x v="3"/>
    <n v="44.576276790000001"/>
    <n v="428.49518169999999"/>
    <n v="439.53742349999999"/>
    <n v="127.5424738"/>
    <n v="28.60142355"/>
    <x v="1"/>
    <x v="869"/>
    <x v="4"/>
  </r>
  <r>
    <n v="883"/>
    <x v="3"/>
    <x v="1"/>
    <n v="51.448676650000003"/>
    <n v="544.19860059999996"/>
    <n v="386.24439519999999"/>
    <n v="212.38935910000001"/>
    <n v="39.306286870000001"/>
    <x v="2"/>
    <x v="870"/>
    <x v="3"/>
  </r>
  <r>
    <n v="884"/>
    <x v="2"/>
    <x v="4"/>
    <n v="43.852271350000002"/>
    <n v="456.96145239999998"/>
    <n v="357.00092230000001"/>
    <n v="280.0649166"/>
    <n v="25.268621840000002"/>
    <x v="2"/>
    <x v="871"/>
    <x v="2"/>
  </r>
  <r>
    <n v="885"/>
    <x v="0"/>
    <x v="3"/>
    <n v="42.917115369999998"/>
    <n v="538.03814480000005"/>
    <n v="621.99885730000005"/>
    <n v="190.07577710000001"/>
    <n v="21.177759139999999"/>
    <x v="1"/>
    <x v="872"/>
    <x v="0"/>
  </r>
  <r>
    <n v="886"/>
    <x v="2"/>
    <x v="2"/>
    <n v="53.428151620000001"/>
    <n v="480.91586810000001"/>
    <n v="680.86819060000005"/>
    <n v="155.90516890000001"/>
    <n v="31.455034309999998"/>
    <x v="2"/>
    <x v="873"/>
    <x v="2"/>
  </r>
  <r>
    <n v="887"/>
    <x v="4"/>
    <x v="1"/>
    <n v="41.677061170000002"/>
    <n v="506.74936810000003"/>
    <n v="361.77667170000001"/>
    <n v="209.34298509999999"/>
    <n v="31.56820184"/>
    <x v="2"/>
    <x v="874"/>
    <x v="4"/>
  </r>
  <r>
    <n v="888"/>
    <x v="4"/>
    <x v="2"/>
    <n v="27.90848381"/>
    <n v="544.50864709999996"/>
    <n v="648.59307950000004"/>
    <n v="229.4559089"/>
    <n v="33.330172869999998"/>
    <x v="2"/>
    <x v="875"/>
    <x v="4"/>
  </r>
  <r>
    <n v="889"/>
    <x v="5"/>
    <x v="0"/>
    <n v="41.118521039999997"/>
    <n v="464.9981545"/>
    <n v="421.51326999999998"/>
    <n v="192.18184310000001"/>
    <n v="33.363128799999998"/>
    <x v="1"/>
    <x v="876"/>
    <x v="4"/>
  </r>
  <r>
    <n v="890"/>
    <x v="4"/>
    <x v="2"/>
    <n v="46.931188509999998"/>
    <n v="400.39502140000002"/>
    <n v="544.03775940000003"/>
    <n v="270.17676660000001"/>
    <n v="38.853528249999997"/>
    <x v="0"/>
    <x v="877"/>
    <x v="4"/>
  </r>
  <r>
    <n v="891"/>
    <x v="3"/>
    <x v="1"/>
    <n v="65.213984980000006"/>
    <n v="503.25760000000002"/>
    <n v="649.22565659999998"/>
    <n v="159.3819053"/>
    <n v="21.409312549999999"/>
    <x v="2"/>
    <x v="878"/>
    <x v="3"/>
  </r>
  <r>
    <n v="892"/>
    <x v="2"/>
    <x v="0"/>
    <n v="50.539879999999997"/>
    <n v="619.51391799999999"/>
    <n v="462.59080849999998"/>
    <n v="185.6515182"/>
    <n v="23.985984030000001"/>
    <x v="0"/>
    <x v="879"/>
    <x v="2"/>
  </r>
  <r>
    <n v="893"/>
    <x v="2"/>
    <x v="0"/>
    <n v="111.3872502"/>
    <n v="511.61730840000001"/>
    <n v="440.64696959999998"/>
    <n v="214.79939519999999"/>
    <n v="33.311016670000001"/>
    <x v="0"/>
    <x v="880"/>
    <x v="2"/>
  </r>
  <r>
    <n v="894"/>
    <x v="0"/>
    <x v="1"/>
    <n v="48.316917660000001"/>
    <n v="415.51015469999999"/>
    <n v="576.12971570000002"/>
    <n v="219.6481876"/>
    <n v="24.471872489999999"/>
    <x v="0"/>
    <x v="881"/>
    <x v="0"/>
  </r>
  <r>
    <n v="895"/>
    <x v="2"/>
    <x v="2"/>
    <n v="62.264051440000003"/>
    <n v="540.15606079999998"/>
    <n v="346.80565960000001"/>
    <n v="202.36140459999999"/>
    <n v="22.71706013"/>
    <x v="2"/>
    <x v="882"/>
    <x v="2"/>
  </r>
  <r>
    <n v="896"/>
    <x v="5"/>
    <x v="4"/>
    <n v="61.570963849999998"/>
    <n v="546.83155850000003"/>
    <n v="617.64736530000005"/>
    <n v="136.0790039"/>
    <n v="39.32922276"/>
    <x v="0"/>
    <x v="883"/>
    <x v="4"/>
  </r>
  <r>
    <n v="897"/>
    <x v="2"/>
    <x v="0"/>
    <n v="61.761751050000001"/>
    <n v="551.99990760000003"/>
    <n v="497.13712709999999"/>
    <n v="316.9005702"/>
    <n v="21.90028934"/>
    <x v="1"/>
    <x v="884"/>
    <x v="2"/>
  </r>
  <r>
    <n v="899"/>
    <x v="0"/>
    <x v="0"/>
    <n v="52.067240470000002"/>
    <n v="431.76090060000001"/>
    <n v="407.49988760000002"/>
    <n v="205.5133759"/>
    <n v="29.70316274"/>
    <x v="2"/>
    <x v="885"/>
    <x v="0"/>
  </r>
  <r>
    <n v="900"/>
    <x v="2"/>
    <x v="4"/>
    <n v="57.589385999999998"/>
    <n v="432.31707840000001"/>
    <n v="313.98449859999999"/>
    <n v="230.83805469999999"/>
    <n v="36.54568321"/>
    <x v="2"/>
    <x v="886"/>
    <x v="2"/>
  </r>
  <r>
    <n v="901"/>
    <x v="3"/>
    <x v="2"/>
    <n v="53.815385630000002"/>
    <n v="463.9352088"/>
    <n v="415.65933999999999"/>
    <n v="168.17473190000001"/>
    <n v="20.655984709999998"/>
    <x v="1"/>
    <x v="887"/>
    <x v="3"/>
  </r>
  <r>
    <n v="902"/>
    <x v="2"/>
    <x v="2"/>
    <n v="56.365963260000001"/>
    <n v="553.89191849999997"/>
    <n v="448.31546859999997"/>
    <n v="202.84632099999999"/>
    <n v="32.077375760000002"/>
    <x v="1"/>
    <x v="888"/>
    <x v="2"/>
  </r>
  <r>
    <n v="903"/>
    <x v="4"/>
    <x v="3"/>
    <n v="50.58351004"/>
    <n v="529.61848050000003"/>
    <n v="352.64477620000002"/>
    <n v="166.1404881"/>
    <n v="25.54811471"/>
    <x v="1"/>
    <x v="889"/>
    <x v="4"/>
  </r>
  <r>
    <n v="904"/>
    <x v="0"/>
    <x v="0"/>
    <n v="94.099605359999998"/>
    <n v="537.52169570000001"/>
    <n v="474.54420290000002"/>
    <n v="220.77753709999999"/>
    <n v="33.138056059999997"/>
    <x v="0"/>
    <x v="890"/>
    <x v="0"/>
  </r>
  <r>
    <n v="905"/>
    <x v="2"/>
    <x v="2"/>
    <n v="33.02902615"/>
    <n v="635.40191419999996"/>
    <n v="536.75005009999995"/>
    <n v="186.1988676"/>
    <n v="25.465961369999999"/>
    <x v="0"/>
    <x v="891"/>
    <x v="2"/>
  </r>
  <r>
    <n v="906"/>
    <x v="5"/>
    <x v="4"/>
    <n v="43.544305710000003"/>
    <n v="568.88909320000005"/>
    <n v="454.38334370000001"/>
    <n v="213.4359264"/>
    <n v="37.861531280000001"/>
    <x v="2"/>
    <x v="892"/>
    <x v="4"/>
  </r>
  <r>
    <n v="907"/>
    <x v="3"/>
    <x v="1"/>
    <n v="76.781098740000004"/>
    <n v="485.81983750000001"/>
    <n v="559.52709919999995"/>
    <n v="147.6731327"/>
    <n v="25.495149909999999"/>
    <x v="0"/>
    <x v="893"/>
    <x v="3"/>
  </r>
  <r>
    <n v="908"/>
    <x v="3"/>
    <x v="2"/>
    <n v="45.143488240000003"/>
    <n v="381.6114824"/>
    <n v="383.14320199999997"/>
    <n v="158.55417829999999"/>
    <n v="17.690101469999998"/>
    <x v="0"/>
    <x v="894"/>
    <x v="3"/>
  </r>
  <r>
    <n v="909"/>
    <x v="2"/>
    <x v="2"/>
    <n v="30.40609774"/>
    <n v="428.54529919999999"/>
    <n v="600.4059317"/>
    <n v="131.74296620000001"/>
    <n v="26.055753750000001"/>
    <x v="0"/>
    <x v="895"/>
    <x v="2"/>
  </r>
  <r>
    <n v="910"/>
    <x v="2"/>
    <x v="2"/>
    <n v="57.32649361"/>
    <n v="473.8294932"/>
    <n v="494.61776470000001"/>
    <n v="164.47349600000001"/>
    <n v="28.693499450000001"/>
    <x v="2"/>
    <x v="896"/>
    <x v="2"/>
  </r>
  <r>
    <n v="911"/>
    <x v="2"/>
    <x v="0"/>
    <n v="58.554600090000001"/>
    <n v="582.91298270000004"/>
    <n v="665.43086040000003"/>
    <n v="71.323787820000007"/>
    <n v="35.411769370000002"/>
    <x v="2"/>
    <x v="897"/>
    <x v="2"/>
  </r>
  <r>
    <n v="912"/>
    <x v="4"/>
    <x v="3"/>
    <n v="62.873243899999999"/>
    <n v="497.2668066"/>
    <n v="769.70607749999999"/>
    <n v="184.6449897"/>
    <n v="23.707925849999999"/>
    <x v="1"/>
    <x v="898"/>
    <x v="4"/>
  </r>
  <r>
    <n v="913"/>
    <x v="2"/>
    <x v="2"/>
    <n v="142.59095429999999"/>
    <n v="434.3804045"/>
    <n v="423.57076890000002"/>
    <n v="173.28798639999999"/>
    <n v="23.806769360000001"/>
    <x v="1"/>
    <x v="899"/>
    <x v="2"/>
  </r>
  <r>
    <n v="914"/>
    <x v="3"/>
    <x v="1"/>
    <n v="58.456015139999998"/>
    <n v="426.71071139999998"/>
    <n v="428.51233480000002"/>
    <n v="207.54554820000001"/>
    <n v="34.802889520000001"/>
    <x v="1"/>
    <x v="900"/>
    <x v="3"/>
  </r>
  <r>
    <n v="915"/>
    <x v="0"/>
    <x v="4"/>
    <n v="68.402171350000003"/>
    <n v="493.0421791"/>
    <n v="450.45094540000002"/>
    <n v="202.2303862"/>
    <n v="23.123874409999999"/>
    <x v="1"/>
    <x v="901"/>
    <x v="0"/>
  </r>
  <r>
    <n v="916"/>
    <x v="2"/>
    <x v="1"/>
    <n v="42.54526508"/>
    <n v="588.9987562"/>
    <n v="551.48427000000004"/>
    <n v="262.85398839999999"/>
    <n v="29.105082790000001"/>
    <x v="1"/>
    <x v="902"/>
    <x v="2"/>
  </r>
  <r>
    <n v="917"/>
    <x v="2"/>
    <x v="4"/>
    <n v="40.561492950000002"/>
    <n v="659.10193059999995"/>
    <n v="639.11639649999995"/>
    <n v="329.71550919999999"/>
    <n v="29.20674408"/>
    <x v="1"/>
    <x v="903"/>
    <x v="2"/>
  </r>
  <r>
    <n v="919"/>
    <x v="5"/>
    <x v="2"/>
    <n v="47.342304140000003"/>
    <n v="495.5256819"/>
    <n v="525.74931200000003"/>
    <n v="177.34462049999999"/>
    <n v="26.250758950000002"/>
    <x v="1"/>
    <x v="904"/>
    <x v="4"/>
  </r>
  <r>
    <n v="920"/>
    <x v="1"/>
    <x v="0"/>
    <n v="64.334224199999994"/>
    <n v="378.6058294"/>
    <n v="463.68872520000002"/>
    <n v="175.33046250000001"/>
    <n v="25.365028070000001"/>
    <x v="2"/>
    <x v="905"/>
    <x v="1"/>
  </r>
  <r>
    <n v="921"/>
    <x v="2"/>
    <x v="3"/>
    <n v="55.280683680000003"/>
    <n v="693.91925690000005"/>
    <n v="554.17309230000001"/>
    <n v="243.4331521"/>
    <n v="31.674472210000001"/>
    <x v="1"/>
    <x v="906"/>
    <x v="2"/>
  </r>
  <r>
    <n v="922"/>
    <x v="2"/>
    <x v="3"/>
    <n v="54.88691953"/>
    <n v="359.8997162"/>
    <n v="661.1349232"/>
    <n v="115.83276530000001"/>
    <n v="25.520020729999999"/>
    <x v="2"/>
    <x v="907"/>
    <x v="2"/>
  </r>
  <r>
    <n v="923"/>
    <x v="0"/>
    <x v="4"/>
    <n v="31.80692071"/>
    <n v="617.16623119999997"/>
    <n v="451.16061150000002"/>
    <n v="184.2398537"/>
    <n v="23.200154049999998"/>
    <x v="2"/>
    <x v="908"/>
    <x v="0"/>
  </r>
  <r>
    <n v="924"/>
    <x v="2"/>
    <x v="2"/>
    <n v="43.068131729999998"/>
    <n v="463.4664047"/>
    <n v="279.61588"/>
    <n v="188.09235319999999"/>
    <n v="36.138999939999998"/>
    <x v="0"/>
    <x v="909"/>
    <x v="2"/>
  </r>
  <r>
    <n v="925"/>
    <x v="5"/>
    <x v="2"/>
    <n v="31.643423670000001"/>
    <n v="440.06335059999998"/>
    <n v="569.26820120000002"/>
    <n v="229.20657420000001"/>
    <n v="32.440476910000001"/>
    <x v="2"/>
    <x v="910"/>
    <x v="4"/>
  </r>
  <r>
    <n v="926"/>
    <x v="3"/>
    <x v="4"/>
    <n v="61.712457890000003"/>
    <n v="388.9996428"/>
    <n v="380.07537380000002"/>
    <n v="230.69331729999999"/>
    <n v="38.837511980000002"/>
    <x v="1"/>
    <x v="911"/>
    <x v="3"/>
  </r>
  <r>
    <n v="927"/>
    <x v="2"/>
    <x v="3"/>
    <n v="65.856464930000001"/>
    <n v="741.00486490000003"/>
    <n v="462.82611159999999"/>
    <n v="162.771973"/>
    <n v="33.919838259999999"/>
    <x v="1"/>
    <x v="912"/>
    <x v="2"/>
  </r>
  <r>
    <n v="928"/>
    <x v="0"/>
    <x v="3"/>
    <n v="57.795667270000003"/>
    <n v="522.14916229999994"/>
    <n v="574.44370040000001"/>
    <n v="179.28136689999999"/>
    <n v="23.659281740000001"/>
    <x v="1"/>
    <x v="913"/>
    <x v="0"/>
  </r>
  <r>
    <n v="929"/>
    <x v="2"/>
    <x v="3"/>
    <n v="40.132139539999997"/>
    <n v="502.12804369999998"/>
    <n v="515.68738240000005"/>
    <n v="222.25521269999999"/>
    <n v="30.4818462"/>
    <x v="2"/>
    <x v="914"/>
    <x v="2"/>
  </r>
  <r>
    <n v="930"/>
    <x v="2"/>
    <x v="4"/>
    <n v="64.820224940000003"/>
    <n v="588.67323599999997"/>
    <n v="467.79359690000001"/>
    <n v="160.05396719999999"/>
    <n v="24.92185873"/>
    <x v="1"/>
    <x v="915"/>
    <x v="2"/>
  </r>
  <r>
    <n v="931"/>
    <x v="2"/>
    <x v="3"/>
    <n v="47.467450900000003"/>
    <n v="434.91672740000001"/>
    <n v="410.89419450000003"/>
    <n v="260.3059217"/>
    <n v="21.741952019999999"/>
    <x v="1"/>
    <x v="916"/>
    <x v="2"/>
  </r>
  <r>
    <n v="932"/>
    <x v="4"/>
    <x v="1"/>
    <n v="37.855407190000001"/>
    <n v="500.1845955"/>
    <n v="132.0127464"/>
    <n v="230.4587617"/>
    <n v="27.764003030000001"/>
    <x v="1"/>
    <x v="917"/>
    <x v="4"/>
  </r>
  <r>
    <n v="933"/>
    <x v="4"/>
    <x v="2"/>
    <n v="40.355957449999998"/>
    <n v="503.25760000000002"/>
    <n v="563.79849790000003"/>
    <n v="208.57547740000001"/>
    <n v="34.90766438"/>
    <x v="0"/>
    <x v="918"/>
    <x v="4"/>
  </r>
  <r>
    <n v="934"/>
    <x v="3"/>
    <x v="3"/>
    <n v="45.698433639999998"/>
    <n v="448.78542679999998"/>
    <n v="449.64579609999998"/>
    <n v="219.54702990000001"/>
    <n v="31.374563550000001"/>
    <x v="2"/>
    <x v="919"/>
    <x v="3"/>
  </r>
  <r>
    <n v="935"/>
    <x v="2"/>
    <x v="4"/>
    <n v="50.4957852"/>
    <n v="619.96380790000001"/>
    <n v="661.60035340000002"/>
    <n v="176.6554692"/>
    <n v="23.045529340000002"/>
    <x v="1"/>
    <x v="920"/>
    <x v="2"/>
  </r>
  <r>
    <n v="936"/>
    <x v="2"/>
    <x v="2"/>
    <n v="48.386557879999998"/>
    <n v="478.1345589"/>
    <n v="527.76336360000005"/>
    <n v="168.68542890000001"/>
    <n v="27.588292119999998"/>
    <x v="1"/>
    <x v="921"/>
    <x v="2"/>
  </r>
  <r>
    <n v="937"/>
    <x v="5"/>
    <x v="0"/>
    <n v="35.873315820000002"/>
    <n v="344.68679470000001"/>
    <n v="415.06495530000001"/>
    <n v="178.76388919999999"/>
    <n v="29.285667069999999"/>
    <x v="2"/>
    <x v="922"/>
    <x v="4"/>
  </r>
  <r>
    <n v="938"/>
    <x v="2"/>
    <x v="4"/>
    <n v="62.133164090000001"/>
    <n v="469.85026360000001"/>
    <n v="608.02441060000001"/>
    <n v="224.99833459999999"/>
    <n v="21.55443773"/>
    <x v="0"/>
    <x v="923"/>
    <x v="2"/>
  </r>
  <r>
    <n v="939"/>
    <x v="5"/>
    <x v="2"/>
    <n v="48.493940809999998"/>
    <n v="524.91786720000005"/>
    <n v="618.13552870000001"/>
    <n v="210.050749"/>
    <n v="33.565861830000003"/>
    <x v="1"/>
    <x v="924"/>
    <x v="4"/>
  </r>
  <r>
    <n v="940"/>
    <x v="2"/>
    <x v="4"/>
    <n v="42.862461439999997"/>
    <n v="410.6506766"/>
    <n v="453.71618230000001"/>
    <n v="178.86427699999999"/>
    <n v="28.856324870000002"/>
    <x v="0"/>
    <x v="925"/>
    <x v="2"/>
  </r>
  <r>
    <n v="941"/>
    <x v="3"/>
    <x v="4"/>
    <n v="85.550321920000002"/>
    <n v="418.5405207"/>
    <n v="623.23738390000005"/>
    <n v="237.47908720000001"/>
    <n v="23.047025699999999"/>
    <x v="2"/>
    <x v="926"/>
    <x v="3"/>
  </r>
  <r>
    <n v="942"/>
    <x v="2"/>
    <x v="1"/>
    <n v="38.16593812"/>
    <n v="445.3740962"/>
    <n v="413.36303340000001"/>
    <n v="191.30267889999999"/>
    <n v="22.764132029999999"/>
    <x v="1"/>
    <x v="927"/>
    <x v="2"/>
  </r>
  <r>
    <n v="943"/>
    <x v="2"/>
    <x v="0"/>
    <n v="33.711098159999999"/>
    <n v="622.12356599999998"/>
    <n v="499.15773230000002"/>
    <n v="165.33446269999999"/>
    <n v="35.50331972"/>
    <x v="1"/>
    <x v="928"/>
    <x v="2"/>
  </r>
  <r>
    <n v="944"/>
    <x v="1"/>
    <x v="0"/>
    <n v="62.724874470000003"/>
    <n v="451.28419769999999"/>
    <n v="548.5690065"/>
    <n v="212.71707549999999"/>
    <n v="28.095934840000002"/>
    <x v="2"/>
    <x v="929"/>
    <x v="1"/>
  </r>
  <r>
    <n v="945"/>
    <x v="5"/>
    <x v="4"/>
    <n v="68.913878499999996"/>
    <n v="642.91170190000003"/>
    <n v="574.17379010000002"/>
    <n v="149.3485244"/>
    <n v="35.951760139999998"/>
    <x v="2"/>
    <x v="930"/>
    <x v="4"/>
  </r>
  <r>
    <n v="946"/>
    <x v="2"/>
    <x v="2"/>
    <n v="45.379039810000002"/>
    <n v="438.50495619999998"/>
    <n v="554.58262179999997"/>
    <n v="115.6388125"/>
    <n v="37.860777400000003"/>
    <x v="2"/>
    <x v="931"/>
    <x v="2"/>
  </r>
  <r>
    <n v="947"/>
    <x v="2"/>
    <x v="3"/>
    <n v="49.540299920000002"/>
    <n v="532.50141359999998"/>
    <n v="440.08113830000002"/>
    <n v="199.7447712"/>
    <n v="35.112241359999999"/>
    <x v="0"/>
    <x v="932"/>
    <x v="2"/>
  </r>
  <r>
    <n v="948"/>
    <x v="4"/>
    <x v="3"/>
    <n v="38.53335285"/>
    <n v="455.37573259999999"/>
    <n v="611.24371689999998"/>
    <n v="167.12931029999999"/>
    <n v="27.332841269999999"/>
    <x v="2"/>
    <x v="933"/>
    <x v="4"/>
  </r>
  <r>
    <n v="949"/>
    <x v="1"/>
    <x v="1"/>
    <n v="50.054925500000003"/>
    <n v="575.40831700000001"/>
    <n v="465.06872120000003"/>
    <n v="187.2922824"/>
    <n v="17.510764399999999"/>
    <x v="1"/>
    <x v="934"/>
    <x v="1"/>
  </r>
  <r>
    <n v="950"/>
    <x v="0"/>
    <x v="1"/>
    <n v="86.201151510000003"/>
    <n v="388.17258450000003"/>
    <n v="411.71671650000002"/>
    <n v="151.66335409999999"/>
    <n v="31.56498152"/>
    <x v="0"/>
    <x v="935"/>
    <x v="0"/>
  </r>
  <r>
    <n v="951"/>
    <x v="0"/>
    <x v="3"/>
    <n v="48.978715600000001"/>
    <n v="574.28594799999996"/>
    <n v="413.47944389999998"/>
    <n v="260.44660699999997"/>
    <n v="40.45788185"/>
    <x v="2"/>
    <x v="936"/>
    <x v="0"/>
  </r>
  <r>
    <n v="952"/>
    <x v="4"/>
    <x v="2"/>
    <n v="54.092583879999999"/>
    <n v="511.38693999999998"/>
    <n v="712.79860699999995"/>
    <n v="166.92536279999999"/>
    <n v="29.823049610000002"/>
    <x v="2"/>
    <x v="937"/>
    <x v="4"/>
  </r>
  <r>
    <n v="953"/>
    <x v="4"/>
    <x v="3"/>
    <n v="39.01854522"/>
    <n v="436.00081829999999"/>
    <n v="390.96198859999998"/>
    <n v="178.40003110000001"/>
    <n v="20.050922409999998"/>
    <x v="1"/>
    <x v="938"/>
    <x v="4"/>
  </r>
  <r>
    <n v="954"/>
    <x v="4"/>
    <x v="2"/>
    <n v="46.381886610000002"/>
    <n v="483.37785150000002"/>
    <n v="634.99622720000002"/>
    <n v="218.8941634"/>
    <n v="26.625607519999999"/>
    <x v="2"/>
    <x v="939"/>
    <x v="4"/>
  </r>
  <r>
    <n v="955"/>
    <x v="5"/>
    <x v="1"/>
    <n v="31.962185779999999"/>
    <n v="653.38549409999996"/>
    <n v="343.74399649999998"/>
    <n v="131.1692851"/>
    <n v="29.08133363"/>
    <x v="2"/>
    <x v="940"/>
    <x v="4"/>
  </r>
  <r>
    <n v="956"/>
    <x v="5"/>
    <x v="2"/>
    <n v="46.450127160000001"/>
    <n v="513.78445050000005"/>
    <n v="538.54865340000003"/>
    <n v="127.47251129999999"/>
    <n v="24.510057159999999"/>
    <x v="0"/>
    <x v="941"/>
    <x v="4"/>
  </r>
  <r>
    <n v="957"/>
    <x v="3"/>
    <x v="4"/>
    <n v="49.065659289999999"/>
    <n v="429.72719840000002"/>
    <n v="515.65001419999999"/>
    <n v="219.04764180000001"/>
    <n v="17.180230160000001"/>
    <x v="1"/>
    <x v="942"/>
    <x v="3"/>
  </r>
  <r>
    <n v="958"/>
    <x v="3"/>
    <x v="1"/>
    <n v="52.289824250000002"/>
    <n v="379.53067170000003"/>
    <n v="674.54722560000005"/>
    <n v="177.75261850000001"/>
    <n v="29.510746149999999"/>
    <x v="0"/>
    <x v="943"/>
    <x v="3"/>
  </r>
  <r>
    <n v="959"/>
    <x v="4"/>
    <x v="1"/>
    <n v="52.395765400000002"/>
    <n v="550.54042730000003"/>
    <n v="401.47177260000001"/>
    <n v="154.92524470000001"/>
    <n v="26.075618769999998"/>
    <x v="1"/>
    <x v="944"/>
    <x v="4"/>
  </r>
  <r>
    <n v="960"/>
    <x v="1"/>
    <x v="0"/>
    <n v="59.039227510000003"/>
    <n v="519.58452469999997"/>
    <n v="368.3202938"/>
    <n v="230.16865859999999"/>
    <n v="38.863458299999998"/>
    <x v="1"/>
    <x v="945"/>
    <x v="1"/>
  </r>
  <r>
    <n v="961"/>
    <x v="2"/>
    <x v="0"/>
    <n v="34.60333481"/>
    <n v="569.50206949999995"/>
    <n v="466.01875460000002"/>
    <n v="159.40391700000001"/>
    <n v="30.505167440000001"/>
    <x v="0"/>
    <x v="946"/>
    <x v="2"/>
  </r>
  <r>
    <n v="962"/>
    <x v="5"/>
    <x v="0"/>
    <n v="35.137229699999999"/>
    <n v="353.77752600000002"/>
    <n v="679.77621950000002"/>
    <n v="186.274385"/>
    <n v="32.347894480000001"/>
    <x v="1"/>
    <x v="947"/>
    <x v="4"/>
  </r>
  <r>
    <n v="963"/>
    <x v="1"/>
    <x v="4"/>
    <n v="55.289579359999998"/>
    <n v="382.77395469999999"/>
    <n v="373.90098239999998"/>
    <n v="155.1934766"/>
    <n v="29.40456928"/>
    <x v="0"/>
    <x v="948"/>
    <x v="1"/>
  </r>
  <r>
    <n v="964"/>
    <x v="2"/>
    <x v="0"/>
    <n v="29.610387230000001"/>
    <n v="614.6879199"/>
    <n v="169.3900041"/>
    <n v="215.17185929999999"/>
    <n v="30.468666519999999"/>
    <x v="1"/>
    <x v="949"/>
    <x v="2"/>
  </r>
  <r>
    <n v="965"/>
    <x v="5"/>
    <x v="2"/>
    <n v="51.833002120000003"/>
    <n v="533.13416470000004"/>
    <n v="487.17214050000001"/>
    <n v="266.60380959999998"/>
    <n v="29.664100000000001"/>
    <x v="1"/>
    <x v="950"/>
    <x v="4"/>
  </r>
  <r>
    <n v="966"/>
    <x v="5"/>
    <x v="3"/>
    <n v="38.197070600000004"/>
    <n v="553.34008510000001"/>
    <n v="593.94275019999998"/>
    <n v="106.9480035"/>
    <n v="24.799168470000001"/>
    <x v="1"/>
    <x v="951"/>
    <x v="4"/>
  </r>
  <r>
    <n v="967"/>
    <x v="3"/>
    <x v="2"/>
    <n v="65.728146409999994"/>
    <n v="403.7312968"/>
    <n v="358.3432881"/>
    <n v="205.63288439999999"/>
    <n v="35.443073509999998"/>
    <x v="1"/>
    <x v="952"/>
    <x v="3"/>
  </r>
  <r>
    <n v="968"/>
    <x v="2"/>
    <x v="1"/>
    <n v="50.539879999999997"/>
    <n v="401.90128019999997"/>
    <n v="581.75186080000003"/>
    <n v="242.82942209999999"/>
    <n v="29.664100000000001"/>
    <x v="1"/>
    <x v="953"/>
    <x v="2"/>
  </r>
  <r>
    <n v="969"/>
    <x v="2"/>
    <x v="2"/>
    <n v="47.808439800000002"/>
    <n v="599.12586580000004"/>
    <n v="355.69068179999999"/>
    <n v="178.92611260000001"/>
    <n v="28.007465409999998"/>
    <x v="0"/>
    <x v="954"/>
    <x v="2"/>
  </r>
  <r>
    <n v="970"/>
    <x v="0"/>
    <x v="2"/>
    <n v="62.277208770000001"/>
    <n v="603.83776550000005"/>
    <n v="462.4129757"/>
    <n v="143.44788130000001"/>
    <n v="32.430856210000002"/>
    <x v="0"/>
    <x v="955"/>
    <x v="0"/>
  </r>
  <r>
    <n v="971"/>
    <x v="0"/>
    <x v="2"/>
    <n v="39.365979930000002"/>
    <n v="391.1680513"/>
    <n v="570.32187780000004"/>
    <n v="221.04817639999999"/>
    <n v="32.529309550000001"/>
    <x v="0"/>
    <x v="956"/>
    <x v="0"/>
  </r>
  <r>
    <n v="972"/>
    <x v="0"/>
    <x v="2"/>
    <n v="41.265903659999999"/>
    <n v="372.06295039999998"/>
    <n v="337.50415179999999"/>
    <n v="250.08267520000001"/>
    <n v="39.954473159999999"/>
    <x v="1"/>
    <x v="957"/>
    <x v="0"/>
  </r>
  <r>
    <n v="973"/>
    <x v="0"/>
    <x v="1"/>
    <n v="37.385451660000001"/>
    <n v="489.14070290000001"/>
    <n v="501.78159979999998"/>
    <n v="244.5261089"/>
    <n v="30.81533172"/>
    <x v="1"/>
    <x v="958"/>
    <x v="0"/>
  </r>
  <r>
    <n v="974"/>
    <x v="2"/>
    <x v="3"/>
    <n v="41.349607740000003"/>
    <n v="420.06515469999999"/>
    <n v="625.7968214"/>
    <n v="218.29546690000001"/>
    <n v="24.687462119999999"/>
    <x v="1"/>
    <x v="959"/>
    <x v="2"/>
  </r>
  <r>
    <n v="975"/>
    <x v="2"/>
    <x v="0"/>
    <n v="253.0557805"/>
    <n v="1671.9292479999999"/>
    <n v="536.87209189999999"/>
    <n v="204.89568689999999"/>
    <n v="29.421517590000001"/>
    <x v="2"/>
    <x v="960"/>
    <x v="2"/>
  </r>
  <r>
    <n v="976"/>
    <x v="5"/>
    <x v="4"/>
    <n v="54.939518720000002"/>
    <n v="374.86217540000001"/>
    <n v="393.52487309999998"/>
    <n v="155.04937219999999"/>
    <n v="33.037828140000002"/>
    <x v="0"/>
    <x v="961"/>
    <x v="4"/>
  </r>
  <r>
    <n v="977"/>
    <x v="4"/>
    <x v="3"/>
    <n v="59.614216849999998"/>
    <n v="453.15661519999998"/>
    <n v="662.24620230000005"/>
    <n v="243.2622475"/>
    <n v="34.978295060000001"/>
    <x v="1"/>
    <x v="962"/>
    <x v="4"/>
  </r>
  <r>
    <n v="978"/>
    <x v="3"/>
    <x v="4"/>
    <n v="31.752759529999999"/>
    <n v="384.5305257"/>
    <n v="559.00710140000001"/>
    <n v="240.49784070000001"/>
    <n v="21.924840639999999"/>
    <x v="1"/>
    <x v="963"/>
    <x v="3"/>
  </r>
  <r>
    <n v="979"/>
    <x v="3"/>
    <x v="1"/>
    <n v="48.28137014"/>
    <n v="390.45990970000003"/>
    <n v="256.74624"/>
    <n v="199.07849999999999"/>
    <n v="31.268533600000001"/>
    <x v="2"/>
    <x v="964"/>
    <x v="3"/>
  </r>
  <r>
    <n v="980"/>
    <x v="0"/>
    <x v="1"/>
    <n v="38.918354690000001"/>
    <n v="529.83918470000003"/>
    <n v="583.70923379999999"/>
    <n v="218.2239864"/>
    <n v="25.513725359999999"/>
    <x v="0"/>
    <x v="965"/>
    <x v="0"/>
  </r>
  <r>
    <n v="981"/>
    <x v="5"/>
    <x v="1"/>
    <n v="47.947129089999997"/>
    <n v="494.48017659999999"/>
    <n v="411.43508969999999"/>
    <n v="232.6411938"/>
    <n v="27.16684038"/>
    <x v="1"/>
    <x v="966"/>
    <x v="4"/>
  </r>
  <r>
    <n v="982"/>
    <x v="1"/>
    <x v="2"/>
    <n v="73.341635800000006"/>
    <n v="548.48786819999998"/>
    <n v="503.58762569999999"/>
    <n v="244.10568860000001"/>
    <n v="34.22919812"/>
    <x v="2"/>
    <x v="967"/>
    <x v="1"/>
  </r>
  <r>
    <n v="983"/>
    <x v="4"/>
    <x v="4"/>
    <n v="52.918617619999999"/>
    <n v="335.09665649999999"/>
    <n v="600.96048050000002"/>
    <n v="196.250519"/>
    <n v="33.731242700000003"/>
    <x v="0"/>
    <x v="968"/>
    <x v="4"/>
  </r>
  <r>
    <n v="985"/>
    <x v="4"/>
    <x v="3"/>
    <n v="50.539879999999997"/>
    <n v="707.56375419999995"/>
    <n v="282.52888630000001"/>
    <n v="174.89419100000001"/>
    <n v="29.210789890000001"/>
    <x v="2"/>
    <x v="969"/>
    <x v="4"/>
  </r>
  <r>
    <n v="986"/>
    <x v="4"/>
    <x v="2"/>
    <n v="61.273582429999998"/>
    <n v="462.77275159999999"/>
    <n v="660.66542300000003"/>
    <n v="149.63750709999999"/>
    <n v="27.319591020000001"/>
    <x v="1"/>
    <x v="970"/>
    <x v="4"/>
  </r>
  <r>
    <n v="987"/>
    <x v="4"/>
    <x v="4"/>
    <n v="45.5208552"/>
    <n v="582.47490070000003"/>
    <n v="619.75001650000002"/>
    <n v="197.44696669999999"/>
    <n v="44.458514950000001"/>
    <x v="2"/>
    <x v="971"/>
    <x v="4"/>
  </r>
  <r>
    <n v="988"/>
    <x v="5"/>
    <x v="2"/>
    <n v="37.241679130000001"/>
    <n v="581.60068490000003"/>
    <n v="469.52927840000001"/>
    <n v="187.65573019999999"/>
    <n v="31.391790830000001"/>
    <x v="2"/>
    <x v="972"/>
    <x v="4"/>
  </r>
  <r>
    <n v="989"/>
    <x v="0"/>
    <x v="1"/>
    <n v="49.698557299999997"/>
    <n v="586.51986079999995"/>
    <n v="582.41057420000004"/>
    <n v="307.25182100000001"/>
    <n v="25.80259204"/>
    <x v="2"/>
    <x v="973"/>
    <x v="0"/>
  </r>
  <r>
    <n v="990"/>
    <x v="3"/>
    <x v="3"/>
    <n v="44.322942159999997"/>
    <n v="516.66616869999996"/>
    <n v="435.67359219999997"/>
    <n v="244.73385709999999"/>
    <n v="36.610835729999998"/>
    <x v="2"/>
    <x v="974"/>
    <x v="3"/>
  </r>
  <r>
    <n v="991"/>
    <x v="3"/>
    <x v="4"/>
    <n v="34.754787129999997"/>
    <n v="556.60859830000004"/>
    <n v="491.63642119999997"/>
    <n v="248.47740329999999"/>
    <n v="36.787306829999999"/>
    <x v="1"/>
    <x v="975"/>
    <x v="3"/>
  </r>
  <r>
    <n v="992"/>
    <x v="0"/>
    <x v="1"/>
    <n v="52.409249969999998"/>
    <n v="569.90136199999995"/>
    <n v="462.68544689999999"/>
    <n v="223.56762449999999"/>
    <n v="38.958353549999998"/>
    <x v="2"/>
    <x v="976"/>
    <x v="0"/>
  </r>
  <r>
    <n v="993"/>
    <x v="4"/>
    <x v="2"/>
    <n v="52.658862980000002"/>
    <n v="563.54460280000001"/>
    <n v="440.52670979999999"/>
    <n v="181.63411769999999"/>
    <n v="40.439968409999999"/>
    <x v="1"/>
    <x v="977"/>
    <x v="4"/>
  </r>
  <r>
    <n v="994"/>
    <x v="1"/>
    <x v="2"/>
    <n v="67.691166999999993"/>
    <n v="388.2581826"/>
    <n v="523.11630960000002"/>
    <n v="186.2305021"/>
    <n v="33.538574410000003"/>
    <x v="1"/>
    <x v="978"/>
    <x v="1"/>
  </r>
  <r>
    <n v="995"/>
    <x v="2"/>
    <x v="1"/>
    <n v="46.382369310000001"/>
    <n v="329.26155169999998"/>
    <n v="335.01854120000002"/>
    <n v="190.806535"/>
    <n v="28.25074128"/>
    <x v="0"/>
    <x v="979"/>
    <x v="2"/>
  </r>
  <r>
    <n v="996"/>
    <x v="5"/>
    <x v="1"/>
    <n v="52.80121389"/>
    <n v="344.64164570000003"/>
    <n v="449.81030029999999"/>
    <n v="209.4116636"/>
    <n v="28.98691616"/>
    <x v="1"/>
    <x v="980"/>
    <x v="4"/>
  </r>
  <r>
    <n v="997"/>
    <x v="2"/>
    <x v="2"/>
    <n v="43.345145850000002"/>
    <n v="503.25760000000002"/>
    <n v="517.73753669999996"/>
    <n v="219.45849050000001"/>
    <n v="28.53962349"/>
    <x v="1"/>
    <x v="981"/>
    <x v="2"/>
  </r>
  <r>
    <n v="998"/>
    <x v="0"/>
    <x v="0"/>
    <n v="58.731694310000002"/>
    <n v="559.39267340000004"/>
    <n v="700.57208500000002"/>
    <n v="200.03543139999999"/>
    <n v="27.981223159999999"/>
    <x v="2"/>
    <x v="982"/>
    <x v="0"/>
  </r>
  <r>
    <n v="999"/>
    <x v="1"/>
    <x v="3"/>
    <n v="48.753822040000003"/>
    <n v="389.5588722"/>
    <n v="339.89589419999999"/>
    <n v="185.4700761"/>
    <n v="36.199684040000001"/>
    <x v="1"/>
    <x v="983"/>
    <x v="1"/>
  </r>
  <r>
    <n v="1000"/>
    <x v="5"/>
    <x v="4"/>
    <n v="38.274083910000002"/>
    <n v="592.39704589999997"/>
    <n v="542.46636690000003"/>
    <n v="170.2942185"/>
    <n v="30.00360453"/>
    <x v="1"/>
    <x v="984"/>
    <x v="4"/>
  </r>
  <r>
    <s v="Unknown"/>
    <x v="1"/>
    <x v="2"/>
    <n v="52.65056045"/>
    <n v="429.27066189999999"/>
    <n v="490.93210399999998"/>
    <n v="137.0987652"/>
    <n v="36.9274317"/>
    <x v="2"/>
    <x v="985"/>
    <x v="1"/>
  </r>
  <r>
    <s v="Unknown"/>
    <x v="0"/>
    <x v="2"/>
    <n v="50.301615730000002"/>
    <n v="501.80416489999999"/>
    <n v="488.23644580000001"/>
    <n v="173.9702911"/>
    <n v="31.367643860000001"/>
    <x v="1"/>
    <x v="986"/>
    <x v="0"/>
  </r>
  <r>
    <s v="Unknown"/>
    <x v="3"/>
    <x v="0"/>
    <n v="68.113750289999999"/>
    <n v="553.83240220000005"/>
    <n v="518.29923480000002"/>
    <n v="203.9451416"/>
    <n v="29.938862069999999"/>
    <x v="0"/>
    <x v="987"/>
    <x v="3"/>
  </r>
  <r>
    <s v="Unknown"/>
    <x v="5"/>
    <x v="3"/>
    <n v="58.994649709999997"/>
    <n v="500.98806100000002"/>
    <n v="414.04744979999998"/>
    <n v="157.12162129999999"/>
    <n v="26.60923769"/>
    <x v="1"/>
    <x v="988"/>
    <x v="4"/>
  </r>
  <r>
    <s v="Unknown"/>
    <x v="0"/>
    <x v="0"/>
    <n v="70.03407267"/>
    <n v="495.83191979999998"/>
    <n v="419.53838969999998"/>
    <n v="183.97202089999999"/>
    <n v="35.953730579999998"/>
    <x v="1"/>
    <x v="989"/>
    <x v="0"/>
  </r>
  <r>
    <s v="Unknown"/>
    <x v="2"/>
    <x v="2"/>
    <n v="43.495869650000003"/>
    <n v="370.08833559999999"/>
    <n v="379.4748682"/>
    <n v="246.59672710000001"/>
    <n v="28.69912325"/>
    <x v="1"/>
    <x v="990"/>
    <x v="2"/>
  </r>
  <r>
    <s v="Unknown"/>
    <x v="3"/>
    <x v="3"/>
    <n v="50.871864039999998"/>
    <n v="503.25760000000002"/>
    <n v="384.92419289999998"/>
    <n v="180.88863810000001"/>
    <n v="33.386042609999997"/>
    <x v="1"/>
    <x v="991"/>
    <x v="3"/>
  </r>
  <r>
    <s v="Unknown"/>
    <x v="0"/>
    <x v="0"/>
    <n v="39.054134599999998"/>
    <n v="479.42314019999998"/>
    <n v="401.66298189999998"/>
    <n v="256.87695070000001"/>
    <n v="31.087897680000001"/>
    <x v="1"/>
    <x v="992"/>
    <x v="0"/>
  </r>
  <r>
    <s v="Unknown"/>
    <x v="1"/>
    <x v="1"/>
    <n v="44.265621779999996"/>
    <n v="503.25760000000002"/>
    <n v="427.3504896"/>
    <n v="215.97963250000001"/>
    <n v="30.244345920000001"/>
    <x v="0"/>
    <x v="993"/>
    <x v="1"/>
  </r>
  <r>
    <s v="Unknown"/>
    <x v="3"/>
    <x v="0"/>
    <n v="50.539879999999997"/>
    <n v="654.75700949999998"/>
    <n v="592.13133400000004"/>
    <n v="168.2288447"/>
    <n v="24.875359670000002"/>
    <x v="1"/>
    <x v="994"/>
    <x v="3"/>
  </r>
  <r>
    <s v="Unknown"/>
    <x v="0"/>
    <x v="0"/>
    <n v="59.213496030000002"/>
    <n v="333.87568370000002"/>
    <n v="342.0754068"/>
    <n v="266.05308689999998"/>
    <n v="39.267053990000001"/>
    <x v="2"/>
    <x v="995"/>
    <x v="0"/>
  </r>
  <r>
    <s v="Unknown"/>
    <x v="2"/>
    <x v="1"/>
    <n v="40.336876140000001"/>
    <n v="584.6518092"/>
    <n v="537.45824979999998"/>
    <n v="145.7964758"/>
    <n v="28.9115717"/>
    <x v="2"/>
    <x v="996"/>
    <x v="2"/>
  </r>
  <r>
    <s v="Unknown"/>
    <x v="1"/>
    <x v="2"/>
    <n v="43.305898050000003"/>
    <n v="450.06157009999998"/>
    <n v="390.93023840000001"/>
    <n v="183.1830823"/>
    <n v="30.84256701"/>
    <x v="1"/>
    <x v="997"/>
    <x v="1"/>
  </r>
  <r>
    <s v="Unknown"/>
    <x v="1"/>
    <x v="2"/>
    <n v="47.910395129999998"/>
    <n v="693.47059979999995"/>
    <n v="397.68023499999998"/>
    <n v="75.382843600000001"/>
    <n v="25.509153080000001"/>
    <x v="2"/>
    <x v="998"/>
    <x v="1"/>
  </r>
  <r>
    <s v="Unknown"/>
    <x v="4"/>
    <x v="3"/>
    <n v="32.660164709999997"/>
    <n v="402.21627999999998"/>
    <n v="410.669939"/>
    <n v="188.20150419999999"/>
    <n v="28.243639810000001"/>
    <x v="1"/>
    <x v="999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B27889-692C-4466-9BC4-497D9E177EC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82:B87" firstHeaderRow="1" firstDataRow="1" firstDataCol="1"/>
  <pivotFields count="14">
    <pivotField showAll="0"/>
    <pivotField showAll="0">
      <items count="7">
        <item x="3"/>
        <item x="2"/>
        <item x="4"/>
        <item x="5"/>
        <item h="1" x="0"/>
        <item x="1"/>
        <item t="default"/>
      </items>
    </pivotField>
    <pivotField axis="axisRow" showAll="0">
      <items count="6">
        <item x="2"/>
        <item x="1"/>
        <item x="0"/>
        <item h="1" x="4"/>
        <item x="3"/>
        <item t="default"/>
      </items>
    </pivotField>
    <pivotField numFmtId="2" showAll="0"/>
    <pivotField numFmtId="2" showAll="0"/>
    <pivotField numFmtId="2" showAll="0"/>
    <pivotField numFmtId="2" showAll="0"/>
    <pivotField dataField="1" numFmtId="2" showAll="0"/>
    <pivotField showAll="0">
      <items count="4">
        <item x="1"/>
        <item x="2"/>
        <item h="1" x="0"/>
        <item t="default"/>
      </items>
    </pivotField>
    <pivotField numFmtId="14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989"/>
        <item x="169"/>
        <item x="170"/>
        <item x="171"/>
        <item x="172"/>
        <item x="173"/>
        <item x="994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991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990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998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995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987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993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985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996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98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997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99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92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8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t="default"/>
      </items>
    </pivotField>
    <pivotField showAll="0">
      <items count="6">
        <item x="3"/>
        <item x="2"/>
        <item x="4"/>
        <item h="1"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5">
    <i>
      <x/>
    </i>
    <i>
      <x v="1"/>
    </i>
    <i>
      <x v="2"/>
    </i>
    <i>
      <x v="4"/>
    </i>
    <i t="grand">
      <x/>
    </i>
  </rowItems>
  <colItems count="1">
    <i/>
  </colItems>
  <dataFields count="1">
    <dataField name="Average of Temperature_C" fld="7" subtotal="average" baseField="0" baseItem="0" numFmtId="2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1BF0DC-6F28-4847-97AB-66E7F497100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64:F69" firstHeaderRow="1" firstDataRow="2" firstDataCol="1"/>
  <pivotFields count="14">
    <pivotField showAll="0"/>
    <pivotField showAll="0">
      <items count="7">
        <item x="3"/>
        <item x="2"/>
        <item x="4"/>
        <item x="5"/>
        <item h="1" x="0"/>
        <item x="1"/>
        <item t="default"/>
      </items>
    </pivotField>
    <pivotField axis="axisCol" showAll="0">
      <items count="6">
        <item x="2"/>
        <item x="1"/>
        <item x="0"/>
        <item h="1" x="4"/>
        <item x="3"/>
        <item t="default"/>
      </items>
    </pivotField>
    <pivotField dataField="1" numFmtId="2" showAll="0"/>
    <pivotField numFmtId="2" showAll="0"/>
    <pivotField numFmtId="2" showAll="0"/>
    <pivotField numFmtId="2" showAll="0"/>
    <pivotField numFmtId="2" showAll="0"/>
    <pivotField showAll="0">
      <items count="4">
        <item x="1"/>
        <item x="2"/>
        <item h="1" x="0"/>
        <item t="default"/>
      </items>
    </pivotField>
    <pivotField axis="axisRow" numFmtId="14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989"/>
        <item x="169"/>
        <item x="170"/>
        <item x="171"/>
        <item x="172"/>
        <item x="173"/>
        <item x="994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991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990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998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995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987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993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985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996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98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997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99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92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8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t="default"/>
      </items>
    </pivotField>
    <pivotField showAll="0">
      <items count="6">
        <item x="3"/>
        <item x="2"/>
        <item x="4"/>
        <item h="1" x="0"/>
        <item x="1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13"/>
    <field x="12"/>
    <field x="11"/>
    <field x="9"/>
  </rowFields>
  <rowItems count="4">
    <i>
      <x v="1"/>
    </i>
    <i>
      <x v="2"/>
    </i>
    <i>
      <x v="3"/>
    </i>
    <i t="grand">
      <x/>
    </i>
  </rowItems>
  <colFields count="1">
    <field x="2"/>
  </colFields>
  <colItems count="5">
    <i>
      <x/>
    </i>
    <i>
      <x v="1"/>
    </i>
    <i>
      <x v="2"/>
    </i>
    <i>
      <x v="4"/>
    </i>
    <i t="grand">
      <x/>
    </i>
  </colItems>
  <dataFields count="1">
    <dataField name="Average of Price_per_kg" fld="3" subtotal="average" baseField="13" baseItem="1" numFmtId="2"/>
  </dataFields>
  <chartFormats count="8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87BC32-9639-4C98-8DB0-F850AA9F8A2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49:B54" firstHeaderRow="1" firstDataRow="1" firstDataCol="1"/>
  <pivotFields count="14">
    <pivotField showAll="0"/>
    <pivotField showAll="0">
      <items count="7">
        <item x="3"/>
        <item x="2"/>
        <item x="4"/>
        <item x="5"/>
        <item h="1" x="0"/>
        <item x="1"/>
        <item t="default"/>
      </items>
    </pivotField>
    <pivotField showAll="0">
      <items count="6">
        <item x="2"/>
        <item x="1"/>
        <item x="0"/>
        <item h="1" x="4"/>
        <item x="3"/>
        <item t="default"/>
      </items>
    </pivotField>
    <pivotField numFmtId="2" showAll="0"/>
    <pivotField numFmtId="2" showAll="0"/>
    <pivotField numFmtId="2" showAll="0"/>
    <pivotField dataField="1" numFmtId="2" showAll="0"/>
    <pivotField numFmtId="2" showAll="0"/>
    <pivotField showAll="0">
      <items count="4">
        <item x="1"/>
        <item x="2"/>
        <item h="1" x="0"/>
        <item t="default"/>
      </items>
    </pivotField>
    <pivotField numFmtId="14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989"/>
        <item x="169"/>
        <item x="170"/>
        <item x="171"/>
        <item x="172"/>
        <item x="173"/>
        <item x="994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991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990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998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995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987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993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985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996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98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997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99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92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8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t="default"/>
      </items>
    </pivotField>
    <pivotField axis="axisRow" showAll="0">
      <items count="6">
        <item x="3"/>
        <item x="2"/>
        <item x="4"/>
        <item h="1"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4"/>
    </i>
    <i t="grand">
      <x/>
    </i>
  </rowItems>
  <colItems count="1">
    <i/>
  </colItems>
  <dataFields count="1">
    <dataField name="Average of Rainfall_mm" fld="6" subtotal="average" baseField="10" baseItem="0" numFmtId="2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C7F70F-4057-442D-AF2F-B817AD0CA13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4:B39" firstHeaderRow="1" firstDataRow="1" firstDataCol="1"/>
  <pivotFields count="14">
    <pivotField showAll="0"/>
    <pivotField showAll="0">
      <items count="7">
        <item x="3"/>
        <item x="2"/>
        <item x="4"/>
        <item x="5"/>
        <item h="1" x="0"/>
        <item x="1"/>
        <item t="default"/>
      </items>
    </pivotField>
    <pivotField axis="axisRow" showAll="0">
      <items count="6">
        <item x="2"/>
        <item x="1"/>
        <item x="0"/>
        <item h="1" x="4"/>
        <item x="3"/>
        <item t="default"/>
      </items>
    </pivotField>
    <pivotField numFmtId="2" showAll="0"/>
    <pivotField dataField="1" numFmtId="2" showAll="0"/>
    <pivotField numFmtId="2" showAll="0"/>
    <pivotField numFmtId="2" showAll="0"/>
    <pivotField numFmtId="2" showAll="0"/>
    <pivotField showAll="0">
      <items count="4">
        <item x="1"/>
        <item x="2"/>
        <item h="1" x="0"/>
        <item t="default"/>
      </items>
    </pivotField>
    <pivotField numFmtId="14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989"/>
        <item x="169"/>
        <item x="170"/>
        <item x="171"/>
        <item x="172"/>
        <item x="173"/>
        <item x="994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991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990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998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995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987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993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985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996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98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997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99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92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8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t="default"/>
      </items>
    </pivotField>
    <pivotField showAll="0">
      <items count="6">
        <item x="3"/>
        <item x="2"/>
        <item x="4"/>
        <item h="1"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5">
    <i>
      <x/>
    </i>
    <i>
      <x v="1"/>
    </i>
    <i>
      <x v="2"/>
    </i>
    <i>
      <x v="4"/>
    </i>
    <i t="grand">
      <x/>
    </i>
  </rowItems>
  <colItems count="1">
    <i/>
  </colItems>
  <dataFields count="1">
    <dataField name="Sum of Demand_Tons" fld="4" baseField="0" baseItem="0" numFmtId="2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64E96B-5027-4E49-9B7F-3E3522AFD53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9:B22" firstHeaderRow="1" firstDataRow="1" firstDataCol="1"/>
  <pivotFields count="14">
    <pivotField dataField="1" showAll="0"/>
    <pivotField showAll="0">
      <items count="7">
        <item x="3"/>
        <item x="2"/>
        <item x="4"/>
        <item x="5"/>
        <item h="1" x="0"/>
        <item x="1"/>
        <item t="default"/>
      </items>
    </pivotField>
    <pivotField showAll="0"/>
    <pivotField numFmtId="2" showAll="0"/>
    <pivotField numFmtId="2" showAll="0"/>
    <pivotField numFmtId="2" showAll="0"/>
    <pivotField numFmtId="2" showAll="0"/>
    <pivotField numFmtId="2" showAll="0"/>
    <pivotField axis="axisRow" showAll="0">
      <items count="4">
        <item x="1"/>
        <item x="2"/>
        <item h="1" x="0"/>
        <item t="default"/>
      </items>
    </pivotField>
    <pivotField numFmtId="14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989"/>
        <item x="169"/>
        <item x="170"/>
        <item x="171"/>
        <item x="172"/>
        <item x="173"/>
        <item x="994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991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990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998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995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987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993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985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996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98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997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99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92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8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t="default"/>
      </items>
    </pivotField>
    <pivotField showAll="0">
      <items count="6">
        <item x="3"/>
        <item x="2"/>
        <item x="4"/>
        <item h="1"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Rice_ID" fld="0" subtotal="count" baseField="0" baseItem="0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0A0E5C-B055-446D-B29E-8D6548561C3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8" firstHeaderRow="0" firstDataRow="1" firstDataCol="1"/>
  <pivotFields count="14">
    <pivotField showAll="0"/>
    <pivotField showAll="0">
      <items count="7">
        <item x="3"/>
        <item x="2"/>
        <item x="4"/>
        <item x="5"/>
        <item h="1" x="0"/>
        <item x="1"/>
        <item t="default"/>
      </items>
    </pivotField>
    <pivotField showAll="0"/>
    <pivotField numFmtId="2" showAll="0"/>
    <pivotField dataField="1" numFmtId="2" showAll="0"/>
    <pivotField dataField="1" numFmtId="2" showAll="0"/>
    <pivotField numFmtId="2" showAll="0"/>
    <pivotField numFmtId="2" showAll="0"/>
    <pivotField showAll="0"/>
    <pivotField numFmtId="14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989"/>
        <item x="169"/>
        <item x="170"/>
        <item x="171"/>
        <item x="172"/>
        <item x="173"/>
        <item x="994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991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990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998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995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987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993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985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996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98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997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99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92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8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t="default"/>
      </items>
    </pivotField>
    <pivotField axis="axisRow" showAll="0">
      <items count="6">
        <item x="3"/>
        <item x="2"/>
        <item x="4"/>
        <item h="1"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mand_Tons" fld="4" baseField="0" baseItem="0" numFmtId="2"/>
    <dataField name="Sum of Supply_Tons" fld="5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624232-CEB4-47DB-B376-09A6DD7AA171}" name="Table1" displayName="Table1" ref="A1:K1001" totalsRowShown="0">
  <autoFilter ref="A1:K1001" xr:uid="{F4624232-CEB4-47DB-B376-09A6DD7AA171}"/>
  <sortState xmlns:xlrd2="http://schemas.microsoft.com/office/spreadsheetml/2017/richdata2" ref="A2:J1001">
    <sortCondition ref="A1:A1001"/>
  </sortState>
  <tableColumns count="11">
    <tableColumn id="1" xr3:uid="{975F1F91-0D50-417A-B756-060BD2EB3646}" name="Rice_ID" dataDxfId="7"/>
    <tableColumn id="2" xr3:uid="{441D742C-A8FA-4F01-9AE9-0665D6C66A9E}" name="Region"/>
    <tableColumn id="3" xr3:uid="{9B0A0F7A-D500-4ED3-9BE1-CC6C55ED9F01}" name="Rice_Type"/>
    <tableColumn id="4" xr3:uid="{2BDD534A-B711-495D-9F79-8F48F9446A4A}" name="Price_per_kg" dataDxfId="6"/>
    <tableColumn id="5" xr3:uid="{FDC2E5C7-DF33-4250-9B1F-0C64BC8D4BDA}" name="Demand_Tons" dataDxfId="5"/>
    <tableColumn id="6" xr3:uid="{2F4BDE79-0BB3-4BAE-A9AD-560CDE49704F}" name="Supply_Tons" dataDxfId="4"/>
    <tableColumn id="7" xr3:uid="{0885E3A0-1980-4C22-941B-55042A0121B9}" name="Rainfall_mm" dataDxfId="3"/>
    <tableColumn id="8" xr3:uid="{206E6136-D363-4895-8277-5F858F0B8422}" name="Temperature_C" dataDxfId="2"/>
    <tableColumn id="9" xr3:uid="{260453E0-A5D2-47D5-B5DD-E2C0C38D9423}" name="Import_Export"/>
    <tableColumn id="10" xr3:uid="{3932F6C1-22C1-45AD-8C9E-5033F6101761}" name="Date" dataDxfId="1"/>
    <tableColumn id="11" xr3:uid="{5E3DC1AB-9B06-4942-A8EA-9FEE719D4D44}" name="Imputed Region" dataDxfId="0">
      <calculatedColumnFormula>TRIM(CLEAN(Table1[[#This Row],[Region]]))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8D5A2-EC97-4D75-87EE-B626C11E21A3}">
  <dimension ref="A1:J1021"/>
  <sheetViews>
    <sheetView workbookViewId="0">
      <selection activeCell="M6" sqref="M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524</v>
      </c>
      <c r="B2" t="s">
        <v>10</v>
      </c>
      <c r="C2" t="s">
        <v>11</v>
      </c>
      <c r="D2">
        <v>54.78089997</v>
      </c>
      <c r="E2">
        <v>500.40930079999998</v>
      </c>
      <c r="F2">
        <v>492.24898990000003</v>
      </c>
      <c r="G2">
        <v>167.30600430000001</v>
      </c>
      <c r="H2">
        <v>34.131247109999997</v>
      </c>
      <c r="I2" t="s">
        <v>40</v>
      </c>
      <c r="J2" s="1">
        <v>45450</v>
      </c>
    </row>
    <row r="3" spans="1:10" x14ac:dyDescent="0.3">
      <c r="A3">
        <v>603</v>
      </c>
      <c r="B3" t="s">
        <v>12</v>
      </c>
      <c r="C3" t="s">
        <v>41</v>
      </c>
      <c r="D3">
        <v>38.885869880000001</v>
      </c>
      <c r="E3">
        <v>452.7148578</v>
      </c>
      <c r="F3">
        <v>582.31149640000001</v>
      </c>
      <c r="G3">
        <v>281.44691130000001</v>
      </c>
      <c r="H3">
        <v>38.491451959999999</v>
      </c>
      <c r="I3" t="s">
        <v>40</v>
      </c>
      <c r="J3" s="1">
        <v>45529</v>
      </c>
    </row>
    <row r="4" spans="1:10" x14ac:dyDescent="0.3">
      <c r="A4">
        <v>527</v>
      </c>
      <c r="B4" t="s">
        <v>13</v>
      </c>
      <c r="D4">
        <v>58.28454516</v>
      </c>
      <c r="E4">
        <v>525.20603430000006</v>
      </c>
      <c r="F4">
        <v>163.09227849999999</v>
      </c>
      <c r="G4">
        <v>176.958383</v>
      </c>
      <c r="H4">
        <v>27.33913772</v>
      </c>
      <c r="I4" t="s">
        <v>40</v>
      </c>
    </row>
    <row r="5" spans="1:10" x14ac:dyDescent="0.3">
      <c r="A5">
        <v>32</v>
      </c>
      <c r="B5" t="s">
        <v>14</v>
      </c>
      <c r="C5" t="s">
        <v>15</v>
      </c>
      <c r="D5">
        <v>49.746109539999999</v>
      </c>
      <c r="E5">
        <v>431.60404979999998</v>
      </c>
      <c r="F5">
        <v>729.69190849999995</v>
      </c>
      <c r="G5">
        <v>225.34387280000001</v>
      </c>
      <c r="H5">
        <v>15.85275594</v>
      </c>
      <c r="J5" s="1">
        <v>44958</v>
      </c>
    </row>
    <row r="6" spans="1:10" x14ac:dyDescent="0.3">
      <c r="A6">
        <v>617</v>
      </c>
      <c r="B6" t="s">
        <v>10</v>
      </c>
      <c r="C6" t="s">
        <v>11</v>
      </c>
      <c r="D6">
        <v>40.236247290000001</v>
      </c>
      <c r="E6">
        <v>536.14420370000005</v>
      </c>
      <c r="F6">
        <v>411.3367116</v>
      </c>
      <c r="G6">
        <v>185.76206859999999</v>
      </c>
      <c r="H6">
        <v>31.049577670000001</v>
      </c>
      <c r="I6" t="s">
        <v>40</v>
      </c>
      <c r="J6" s="1">
        <v>45543</v>
      </c>
    </row>
    <row r="7" spans="1:10" x14ac:dyDescent="0.3">
      <c r="A7">
        <v>586</v>
      </c>
      <c r="B7" t="s">
        <v>10</v>
      </c>
      <c r="C7" t="s">
        <v>15</v>
      </c>
      <c r="D7">
        <v>46.957761189999999</v>
      </c>
      <c r="E7">
        <v>641.2834057</v>
      </c>
      <c r="F7">
        <v>579.36792920000005</v>
      </c>
      <c r="G7">
        <v>161.3281254</v>
      </c>
      <c r="H7">
        <v>26.77662024</v>
      </c>
      <c r="I7" t="s">
        <v>16</v>
      </c>
      <c r="J7" s="1">
        <v>45512</v>
      </c>
    </row>
    <row r="8" spans="1:10" x14ac:dyDescent="0.3">
      <c r="A8">
        <v>445</v>
      </c>
      <c r="B8" t="s">
        <v>42</v>
      </c>
      <c r="D8">
        <v>38.087098609999998</v>
      </c>
      <c r="E8">
        <v>508.75782190000001</v>
      </c>
      <c r="F8">
        <v>611.41924940000001</v>
      </c>
      <c r="G8">
        <v>181.35297399999999</v>
      </c>
      <c r="H8">
        <v>33.433140960000003</v>
      </c>
      <c r="I8" t="s">
        <v>40</v>
      </c>
      <c r="J8" s="1">
        <v>45371</v>
      </c>
    </row>
    <row r="9" spans="1:10" x14ac:dyDescent="0.3">
      <c r="A9">
        <v>733</v>
      </c>
      <c r="B9" t="s">
        <v>12</v>
      </c>
      <c r="C9" t="s">
        <v>17</v>
      </c>
      <c r="D9">
        <v>263.54872690000002</v>
      </c>
      <c r="E9">
        <v>1519.47866</v>
      </c>
      <c r="F9">
        <v>523.36986290000004</v>
      </c>
      <c r="G9">
        <v>167.38932550000001</v>
      </c>
      <c r="H9">
        <v>32.255441060000003</v>
      </c>
      <c r="I9" t="s">
        <v>16</v>
      </c>
      <c r="J9" s="1">
        <v>45659</v>
      </c>
    </row>
    <row r="10" spans="1:10" x14ac:dyDescent="0.3">
      <c r="A10">
        <v>77</v>
      </c>
      <c r="B10" t="s">
        <v>42</v>
      </c>
      <c r="D10">
        <v>39.684237529999997</v>
      </c>
      <c r="E10">
        <v>414.53270550000002</v>
      </c>
      <c r="F10">
        <v>463.82389540000003</v>
      </c>
      <c r="G10">
        <v>210.8708288</v>
      </c>
      <c r="H10">
        <v>33.936612529999998</v>
      </c>
      <c r="I10" t="s">
        <v>18</v>
      </c>
      <c r="J10" s="1">
        <v>45003</v>
      </c>
    </row>
    <row r="11" spans="1:10" x14ac:dyDescent="0.3">
      <c r="A11">
        <v>412</v>
      </c>
      <c r="B11" t="s">
        <v>43</v>
      </c>
      <c r="C11" t="s">
        <v>19</v>
      </c>
      <c r="D11">
        <v>48.256862949999999</v>
      </c>
      <c r="E11">
        <v>484.84445449999998</v>
      </c>
      <c r="F11">
        <v>541.30355870000005</v>
      </c>
      <c r="G11">
        <v>221.92508849999999</v>
      </c>
      <c r="H11">
        <v>31.775128089999999</v>
      </c>
      <c r="I11" t="s">
        <v>40</v>
      </c>
      <c r="J11" s="1">
        <v>45338</v>
      </c>
    </row>
    <row r="12" spans="1:10" x14ac:dyDescent="0.3">
      <c r="A12">
        <v>569</v>
      </c>
      <c r="B12" t="s">
        <v>14</v>
      </c>
      <c r="C12" t="s">
        <v>41</v>
      </c>
      <c r="D12">
        <v>59.478258029999999</v>
      </c>
      <c r="E12">
        <v>511.21049470000003</v>
      </c>
      <c r="F12">
        <v>164.7521572</v>
      </c>
      <c r="G12">
        <v>248.63088210000001</v>
      </c>
      <c r="H12">
        <v>27.898656970000001</v>
      </c>
      <c r="I12" t="s">
        <v>18</v>
      </c>
      <c r="J12" s="1">
        <v>45495</v>
      </c>
    </row>
    <row r="13" spans="1:10" x14ac:dyDescent="0.3">
      <c r="A13">
        <v>71</v>
      </c>
      <c r="B13" t="s">
        <v>10</v>
      </c>
      <c r="C13" t="s">
        <v>19</v>
      </c>
      <c r="D13">
        <v>48.020468729999997</v>
      </c>
      <c r="E13">
        <v>345.92069579999998</v>
      </c>
      <c r="F13">
        <v>342.32136389999999</v>
      </c>
      <c r="G13">
        <v>284.22898729999997</v>
      </c>
      <c r="H13">
        <v>29.1340808</v>
      </c>
      <c r="I13" t="s">
        <v>18</v>
      </c>
      <c r="J13" s="1">
        <v>44997</v>
      </c>
    </row>
    <row r="14" spans="1:10" x14ac:dyDescent="0.3">
      <c r="A14">
        <v>676</v>
      </c>
      <c r="D14">
        <v>216.10298449999999</v>
      </c>
      <c r="E14">
        <v>593.3232448</v>
      </c>
      <c r="F14">
        <v>489.09112119999998</v>
      </c>
      <c r="G14">
        <v>134.20571290000001</v>
      </c>
      <c r="H14">
        <v>30.869005820000002</v>
      </c>
      <c r="I14" t="s">
        <v>16</v>
      </c>
      <c r="J14" s="1">
        <v>45602</v>
      </c>
    </row>
    <row r="15" spans="1:10" x14ac:dyDescent="0.3">
      <c r="A15">
        <v>102</v>
      </c>
      <c r="C15" t="s">
        <v>19</v>
      </c>
      <c r="D15">
        <v>51.792746039999997</v>
      </c>
      <c r="E15">
        <v>396.71307710000002</v>
      </c>
      <c r="F15">
        <v>444.92937410000002</v>
      </c>
      <c r="G15">
        <v>172.99484530000001</v>
      </c>
      <c r="H15">
        <v>21.93292074</v>
      </c>
      <c r="I15" t="s">
        <v>44</v>
      </c>
      <c r="J15" s="1">
        <v>45028</v>
      </c>
    </row>
    <row r="16" spans="1:10" x14ac:dyDescent="0.3">
      <c r="A16">
        <v>895</v>
      </c>
      <c r="B16" t="s">
        <v>14</v>
      </c>
      <c r="C16" t="s">
        <v>41</v>
      </c>
      <c r="D16">
        <v>62.264051440000003</v>
      </c>
      <c r="E16">
        <v>540.15606079999998</v>
      </c>
      <c r="F16">
        <v>346.80565960000001</v>
      </c>
      <c r="G16">
        <v>202.36140459999999</v>
      </c>
      <c r="H16">
        <v>22.71706013</v>
      </c>
      <c r="I16" t="s">
        <v>40</v>
      </c>
      <c r="J16" s="1">
        <v>45821</v>
      </c>
    </row>
    <row r="17" spans="1:10" x14ac:dyDescent="0.3">
      <c r="A17">
        <v>926</v>
      </c>
      <c r="B17" t="s">
        <v>13</v>
      </c>
      <c r="D17">
        <v>61.712457890000003</v>
      </c>
      <c r="E17">
        <v>388.9996428</v>
      </c>
      <c r="F17">
        <v>380.07537380000002</v>
      </c>
      <c r="G17">
        <v>230.69331729999999</v>
      </c>
      <c r="H17">
        <v>38.837511980000002</v>
      </c>
      <c r="I17" t="s">
        <v>16</v>
      </c>
      <c r="J17" s="1">
        <v>45852</v>
      </c>
    </row>
    <row r="18" spans="1:10" x14ac:dyDescent="0.3">
      <c r="A18">
        <v>630</v>
      </c>
      <c r="C18" t="s">
        <v>19</v>
      </c>
      <c r="D18">
        <v>39.733592649999999</v>
      </c>
      <c r="E18">
        <v>594.06961439999998</v>
      </c>
      <c r="F18">
        <v>292.42926019999999</v>
      </c>
      <c r="G18">
        <v>206.8335936</v>
      </c>
      <c r="H18">
        <v>24.386316870000002</v>
      </c>
      <c r="I18" t="s">
        <v>18</v>
      </c>
      <c r="J18" s="1">
        <v>45556</v>
      </c>
    </row>
    <row r="19" spans="1:10" x14ac:dyDescent="0.3">
      <c r="A19">
        <v>300</v>
      </c>
      <c r="B19" t="s">
        <v>10</v>
      </c>
      <c r="C19" t="s">
        <v>41</v>
      </c>
      <c r="D19">
        <v>48.024647739999999</v>
      </c>
      <c r="E19">
        <v>470.94248970000001</v>
      </c>
      <c r="F19">
        <v>619.28388040000004</v>
      </c>
      <c r="G19">
        <v>188.11444789999999</v>
      </c>
      <c r="H19">
        <v>37.281642359999999</v>
      </c>
      <c r="J19" s="1">
        <v>45226</v>
      </c>
    </row>
    <row r="20" spans="1:10" x14ac:dyDescent="0.3">
      <c r="A20">
        <v>925</v>
      </c>
      <c r="B20" t="s">
        <v>42</v>
      </c>
      <c r="C20" t="s">
        <v>41</v>
      </c>
      <c r="D20">
        <v>31.643423670000001</v>
      </c>
      <c r="E20">
        <v>440.06335059999998</v>
      </c>
      <c r="F20">
        <v>569.26820120000002</v>
      </c>
      <c r="G20">
        <v>229.20657420000001</v>
      </c>
      <c r="H20">
        <v>32.440476910000001</v>
      </c>
      <c r="I20" t="s">
        <v>40</v>
      </c>
      <c r="J20" s="1">
        <v>45851</v>
      </c>
    </row>
    <row r="21" spans="1:10" x14ac:dyDescent="0.3">
      <c r="A21">
        <v>425</v>
      </c>
      <c r="B21" t="s">
        <v>13</v>
      </c>
      <c r="C21" t="s">
        <v>15</v>
      </c>
      <c r="D21">
        <v>61.68217722</v>
      </c>
      <c r="E21">
        <v>652.03392369999995</v>
      </c>
      <c r="F21">
        <v>599.50463720000005</v>
      </c>
      <c r="G21">
        <v>256.1101784</v>
      </c>
      <c r="H21">
        <v>17.879246909999999</v>
      </c>
      <c r="I21" t="s">
        <v>16</v>
      </c>
      <c r="J21" s="1">
        <v>45351</v>
      </c>
    </row>
    <row r="22" spans="1:10" x14ac:dyDescent="0.3">
      <c r="A22">
        <v>97</v>
      </c>
      <c r="B22" t="s">
        <v>10</v>
      </c>
      <c r="C22" t="s">
        <v>19</v>
      </c>
      <c r="D22">
        <v>48.94608075</v>
      </c>
      <c r="E22">
        <v>533.52386869999998</v>
      </c>
      <c r="F22">
        <v>460.1366218</v>
      </c>
      <c r="G22">
        <v>152.97698550000001</v>
      </c>
      <c r="H22">
        <v>31.16243309</v>
      </c>
      <c r="J22" s="1">
        <v>45023</v>
      </c>
    </row>
    <row r="23" spans="1:10" x14ac:dyDescent="0.3">
      <c r="A23">
        <v>901</v>
      </c>
      <c r="B23" t="s">
        <v>13</v>
      </c>
      <c r="C23" t="s">
        <v>41</v>
      </c>
      <c r="D23">
        <v>53.815385630000002</v>
      </c>
      <c r="E23">
        <v>463.9352088</v>
      </c>
      <c r="F23">
        <v>415.65933999999999</v>
      </c>
      <c r="G23">
        <v>168.17473190000001</v>
      </c>
      <c r="H23">
        <v>20.655984709999998</v>
      </c>
      <c r="I23" t="s">
        <v>16</v>
      </c>
      <c r="J23" s="1">
        <v>45827</v>
      </c>
    </row>
    <row r="24" spans="1:10" x14ac:dyDescent="0.3">
      <c r="A24">
        <v>261</v>
      </c>
      <c r="B24" t="s">
        <v>12</v>
      </c>
      <c r="C24" t="s">
        <v>19</v>
      </c>
      <c r="D24">
        <v>61.494197280000002</v>
      </c>
      <c r="E24">
        <v>562.86252330000002</v>
      </c>
      <c r="F24">
        <v>554.23561440000003</v>
      </c>
      <c r="G24">
        <v>183.03815159999999</v>
      </c>
      <c r="H24">
        <v>35.000646680000003</v>
      </c>
      <c r="I24" t="s">
        <v>16</v>
      </c>
      <c r="J24" s="1">
        <v>45187</v>
      </c>
    </row>
    <row r="25" spans="1:10" x14ac:dyDescent="0.3">
      <c r="A25">
        <v>351</v>
      </c>
      <c r="B25" t="s">
        <v>42</v>
      </c>
      <c r="C25" t="s">
        <v>41</v>
      </c>
      <c r="D25">
        <v>46.151581180000001</v>
      </c>
      <c r="E25">
        <v>341.15354600000001</v>
      </c>
      <c r="F25">
        <v>569.40366749999998</v>
      </c>
      <c r="G25">
        <v>143.1410612</v>
      </c>
      <c r="H25">
        <v>26.565317910000001</v>
      </c>
      <c r="I25" t="s">
        <v>18</v>
      </c>
      <c r="J25" s="1">
        <v>45277</v>
      </c>
    </row>
    <row r="26" spans="1:10" x14ac:dyDescent="0.3">
      <c r="A26">
        <v>529</v>
      </c>
      <c r="C26" t="s">
        <v>11</v>
      </c>
      <c r="D26">
        <v>62.879824739999997</v>
      </c>
      <c r="E26">
        <v>674.9224203</v>
      </c>
      <c r="F26">
        <v>493.24675669999999</v>
      </c>
      <c r="G26">
        <v>200.19403080000001</v>
      </c>
      <c r="H26">
        <v>32.064902830000001</v>
      </c>
      <c r="I26" t="s">
        <v>44</v>
      </c>
      <c r="J26" s="1">
        <v>45455</v>
      </c>
    </row>
    <row r="27" spans="1:10" x14ac:dyDescent="0.3">
      <c r="A27">
        <v>695</v>
      </c>
      <c r="B27" t="s">
        <v>13</v>
      </c>
      <c r="C27" t="s">
        <v>41</v>
      </c>
      <c r="D27">
        <v>53.625708150000001</v>
      </c>
      <c r="E27">
        <v>357.79934750000001</v>
      </c>
      <c r="F27">
        <v>746.48205559999997</v>
      </c>
      <c r="G27">
        <v>191.94548109999999</v>
      </c>
      <c r="H27">
        <v>28.402549650000001</v>
      </c>
      <c r="I27" t="s">
        <v>16</v>
      </c>
      <c r="J27" s="1">
        <v>45621</v>
      </c>
    </row>
    <row r="28" spans="1:10" x14ac:dyDescent="0.3">
      <c r="A28">
        <v>362</v>
      </c>
      <c r="B28" t="s">
        <v>12</v>
      </c>
      <c r="C28" t="s">
        <v>17</v>
      </c>
      <c r="D28">
        <v>63.130685159999999</v>
      </c>
      <c r="E28">
        <v>492.57890209999999</v>
      </c>
      <c r="F28">
        <v>490.23410799999999</v>
      </c>
      <c r="G28">
        <v>154.19292419999999</v>
      </c>
      <c r="H28">
        <v>29.150901569999998</v>
      </c>
      <c r="I28" t="s">
        <v>18</v>
      </c>
      <c r="J28" s="1">
        <v>45288</v>
      </c>
    </row>
    <row r="29" spans="1:10" x14ac:dyDescent="0.3">
      <c r="A29">
        <v>612</v>
      </c>
      <c r="B29" t="s">
        <v>13</v>
      </c>
      <c r="C29" t="s">
        <v>19</v>
      </c>
      <c r="D29">
        <v>39.021376420000003</v>
      </c>
      <c r="E29">
        <v>595.84765279999999</v>
      </c>
      <c r="F29">
        <v>527.00047389999997</v>
      </c>
      <c r="G29">
        <v>242.9344256</v>
      </c>
      <c r="H29">
        <v>29.819894819999998</v>
      </c>
      <c r="I29" t="s">
        <v>44</v>
      </c>
      <c r="J29" s="1">
        <v>45538</v>
      </c>
    </row>
    <row r="30" spans="1:10" x14ac:dyDescent="0.3">
      <c r="A30">
        <v>885</v>
      </c>
      <c r="C30" t="s">
        <v>17</v>
      </c>
      <c r="D30">
        <v>42.917115369999998</v>
      </c>
      <c r="E30">
        <v>538.03814480000005</v>
      </c>
      <c r="F30">
        <v>621.99885730000005</v>
      </c>
      <c r="G30">
        <v>190.07577710000001</v>
      </c>
      <c r="H30">
        <v>21.177759139999999</v>
      </c>
      <c r="I30" t="s">
        <v>16</v>
      </c>
      <c r="J30" s="1">
        <v>45811</v>
      </c>
    </row>
    <row r="31" spans="1:10" x14ac:dyDescent="0.3">
      <c r="B31" t="s">
        <v>10</v>
      </c>
      <c r="C31" t="s">
        <v>41</v>
      </c>
      <c r="D31">
        <v>52.65056045</v>
      </c>
      <c r="E31">
        <v>429.27066189999999</v>
      </c>
      <c r="F31">
        <v>490.93210399999998</v>
      </c>
      <c r="G31">
        <v>137.0987652</v>
      </c>
      <c r="H31">
        <v>36.9274317</v>
      </c>
      <c r="I31" t="s">
        <v>40</v>
      </c>
      <c r="J31" s="1">
        <v>45647</v>
      </c>
    </row>
    <row r="32" spans="1:10" x14ac:dyDescent="0.3">
      <c r="A32">
        <v>487</v>
      </c>
      <c r="B32" t="s">
        <v>13</v>
      </c>
      <c r="C32" t="s">
        <v>41</v>
      </c>
      <c r="D32">
        <v>55.79442573</v>
      </c>
      <c r="E32">
        <v>535.91830489999995</v>
      </c>
      <c r="F32">
        <v>648.04797540000004</v>
      </c>
      <c r="G32">
        <v>175.41310759999999</v>
      </c>
      <c r="H32">
        <v>14.644245059999999</v>
      </c>
      <c r="I32" t="s">
        <v>44</v>
      </c>
      <c r="J32" s="1">
        <v>45413</v>
      </c>
    </row>
    <row r="33" spans="1:10" x14ac:dyDescent="0.3">
      <c r="A33">
        <v>694</v>
      </c>
      <c r="B33" t="s">
        <v>43</v>
      </c>
      <c r="C33" t="s">
        <v>17</v>
      </c>
      <c r="D33">
        <v>52.006518040000003</v>
      </c>
      <c r="E33">
        <v>494.71719949999999</v>
      </c>
      <c r="F33">
        <v>627.57290690000002</v>
      </c>
      <c r="G33">
        <v>331.90876279999998</v>
      </c>
      <c r="H33">
        <v>32.909369779999999</v>
      </c>
      <c r="I33" t="s">
        <v>18</v>
      </c>
      <c r="J33" s="1">
        <v>45620</v>
      </c>
    </row>
    <row r="34" spans="1:10" x14ac:dyDescent="0.3">
      <c r="A34">
        <v>930</v>
      </c>
      <c r="B34" t="s">
        <v>43</v>
      </c>
      <c r="D34">
        <v>64.820224940000003</v>
      </c>
      <c r="E34">
        <v>588.67323599999997</v>
      </c>
      <c r="F34">
        <v>467.79359690000001</v>
      </c>
      <c r="G34">
        <v>160.05396719999999</v>
      </c>
      <c r="H34">
        <v>24.92185873</v>
      </c>
      <c r="I34" t="s">
        <v>16</v>
      </c>
      <c r="J34" s="1">
        <v>45856</v>
      </c>
    </row>
    <row r="35" spans="1:10" x14ac:dyDescent="0.3">
      <c r="A35">
        <v>810</v>
      </c>
      <c r="B35" t="s">
        <v>14</v>
      </c>
      <c r="C35" t="s">
        <v>11</v>
      </c>
      <c r="D35">
        <v>58.991357139999998</v>
      </c>
      <c r="E35">
        <v>530.84501079999995</v>
      </c>
      <c r="F35">
        <v>603.58590470000001</v>
      </c>
      <c r="G35">
        <v>148.54165449999999</v>
      </c>
      <c r="H35">
        <v>33.774495829999999</v>
      </c>
      <c r="I35" t="s">
        <v>18</v>
      </c>
      <c r="J35" s="1">
        <v>45736</v>
      </c>
    </row>
    <row r="36" spans="1:10" x14ac:dyDescent="0.3">
      <c r="A36">
        <v>409</v>
      </c>
      <c r="B36" t="s">
        <v>10</v>
      </c>
      <c r="C36" t="s">
        <v>19</v>
      </c>
      <c r="D36">
        <v>58.786435099999998</v>
      </c>
      <c r="E36">
        <v>621.77484860000004</v>
      </c>
      <c r="F36">
        <v>719.13991499999997</v>
      </c>
      <c r="G36">
        <v>220.17184309999999</v>
      </c>
      <c r="H36">
        <v>35.682352539999997</v>
      </c>
      <c r="J36" s="1">
        <v>45335</v>
      </c>
    </row>
    <row r="37" spans="1:10" x14ac:dyDescent="0.3">
      <c r="A37">
        <v>741</v>
      </c>
      <c r="C37" t="s">
        <v>41</v>
      </c>
      <c r="D37">
        <v>49.0883088</v>
      </c>
      <c r="E37">
        <v>663.39481839999996</v>
      </c>
      <c r="F37">
        <v>599.58295610000005</v>
      </c>
      <c r="G37">
        <v>175.80064419999999</v>
      </c>
      <c r="H37">
        <v>27.116991120000002</v>
      </c>
      <c r="I37" t="s">
        <v>44</v>
      </c>
      <c r="J37" s="1">
        <v>45667</v>
      </c>
    </row>
    <row r="38" spans="1:10" x14ac:dyDescent="0.3">
      <c r="A38">
        <v>214</v>
      </c>
      <c r="C38" t="s">
        <v>15</v>
      </c>
      <c r="D38">
        <v>61.26117026</v>
      </c>
      <c r="E38">
        <v>476.32313970000001</v>
      </c>
      <c r="F38">
        <v>553.20278040000005</v>
      </c>
      <c r="G38">
        <v>275.4123702</v>
      </c>
      <c r="H38">
        <v>24.11664085</v>
      </c>
      <c r="J38" s="1">
        <v>45140</v>
      </c>
    </row>
    <row r="39" spans="1:10" x14ac:dyDescent="0.3">
      <c r="A39">
        <v>590</v>
      </c>
      <c r="B39" t="s">
        <v>43</v>
      </c>
      <c r="C39" t="s">
        <v>11</v>
      </c>
      <c r="D39">
        <v>53.486443440000002</v>
      </c>
      <c r="E39">
        <v>605.52188509999996</v>
      </c>
      <c r="F39">
        <v>406.56934539999997</v>
      </c>
      <c r="G39">
        <v>242.5738619</v>
      </c>
      <c r="H39">
        <v>36.504707570000001</v>
      </c>
      <c r="I39" t="s">
        <v>16</v>
      </c>
      <c r="J39" s="1">
        <v>45516</v>
      </c>
    </row>
    <row r="40" spans="1:10" x14ac:dyDescent="0.3">
      <c r="A40">
        <v>366</v>
      </c>
      <c r="B40" t="s">
        <v>43</v>
      </c>
      <c r="D40">
        <v>51.975789220000003</v>
      </c>
      <c r="E40">
        <v>567.6598017</v>
      </c>
      <c r="F40">
        <v>327.55095069999999</v>
      </c>
      <c r="G40">
        <v>170.54548890000001</v>
      </c>
      <c r="H40">
        <v>26.26575871</v>
      </c>
      <c r="I40" t="s">
        <v>16</v>
      </c>
      <c r="J40" s="1">
        <v>45292</v>
      </c>
    </row>
    <row r="41" spans="1:10" x14ac:dyDescent="0.3">
      <c r="A41">
        <v>200</v>
      </c>
      <c r="B41" t="s">
        <v>43</v>
      </c>
      <c r="C41" t="s">
        <v>41</v>
      </c>
      <c r="D41">
        <v>33.562592840000001</v>
      </c>
      <c r="E41">
        <v>434.99833310000002</v>
      </c>
      <c r="F41">
        <v>565.71827229999997</v>
      </c>
      <c r="G41">
        <v>265.98178309999997</v>
      </c>
      <c r="H41">
        <v>32.13051565</v>
      </c>
      <c r="I41" t="s">
        <v>18</v>
      </c>
      <c r="J41" s="1">
        <v>45126</v>
      </c>
    </row>
    <row r="42" spans="1:10" x14ac:dyDescent="0.3">
      <c r="A42">
        <v>637</v>
      </c>
      <c r="B42" t="s">
        <v>43</v>
      </c>
      <c r="D42">
        <v>58.846067900000001</v>
      </c>
      <c r="E42">
        <v>470.5220716</v>
      </c>
      <c r="F42">
        <v>537.56156869999995</v>
      </c>
      <c r="G42">
        <v>268.20409690000002</v>
      </c>
      <c r="H42">
        <v>34.201784119999999</v>
      </c>
      <c r="I42" t="s">
        <v>18</v>
      </c>
      <c r="J42" s="1">
        <v>45563</v>
      </c>
    </row>
    <row r="43" spans="1:10" x14ac:dyDescent="0.3">
      <c r="A43">
        <v>629</v>
      </c>
      <c r="B43" t="s">
        <v>13</v>
      </c>
      <c r="C43" t="s">
        <v>11</v>
      </c>
      <c r="D43">
        <v>32.371675160000002</v>
      </c>
      <c r="E43">
        <v>472.42978069999998</v>
      </c>
      <c r="F43">
        <v>393.71919989999998</v>
      </c>
      <c r="G43">
        <v>236.27641869999999</v>
      </c>
      <c r="H43">
        <v>27.610738019999999</v>
      </c>
      <c r="J43" s="1">
        <v>45555</v>
      </c>
    </row>
    <row r="44" spans="1:10" x14ac:dyDescent="0.3">
      <c r="A44">
        <v>829</v>
      </c>
      <c r="B44" t="s">
        <v>13</v>
      </c>
      <c r="C44" t="s">
        <v>17</v>
      </c>
      <c r="D44">
        <v>58.85803138</v>
      </c>
      <c r="E44">
        <v>588.11833430000001</v>
      </c>
      <c r="F44">
        <v>373.05396619999999</v>
      </c>
      <c r="G44">
        <v>194.93375420000001</v>
      </c>
      <c r="H44">
        <v>28.046817350000001</v>
      </c>
      <c r="I44" t="s">
        <v>16</v>
      </c>
      <c r="J44" s="1">
        <v>45755</v>
      </c>
    </row>
    <row r="45" spans="1:10" x14ac:dyDescent="0.3">
      <c r="A45">
        <v>353</v>
      </c>
      <c r="B45" t="s">
        <v>42</v>
      </c>
      <c r="C45" t="s">
        <v>19</v>
      </c>
      <c r="D45">
        <v>45.614127940000003</v>
      </c>
      <c r="E45">
        <v>597.03933900000004</v>
      </c>
      <c r="F45">
        <v>424.85412710000003</v>
      </c>
      <c r="G45">
        <v>276.64666849999998</v>
      </c>
      <c r="H45">
        <v>28.074815990000001</v>
      </c>
      <c r="I45" t="s">
        <v>40</v>
      </c>
      <c r="J45" s="1">
        <v>45279</v>
      </c>
    </row>
    <row r="46" spans="1:10" x14ac:dyDescent="0.3">
      <c r="A46">
        <v>330</v>
      </c>
      <c r="B46" t="s">
        <v>14</v>
      </c>
      <c r="C46" t="s">
        <v>11</v>
      </c>
      <c r="D46">
        <v>62.270500599999998</v>
      </c>
      <c r="E46">
        <v>425.09685289999999</v>
      </c>
      <c r="F46">
        <v>405.71127159999998</v>
      </c>
      <c r="G46">
        <v>167.11063050000001</v>
      </c>
      <c r="H46">
        <v>34.840513319999999</v>
      </c>
      <c r="I46" t="s">
        <v>44</v>
      </c>
      <c r="J46" s="1">
        <v>45256</v>
      </c>
    </row>
    <row r="47" spans="1:10" x14ac:dyDescent="0.3">
      <c r="A47">
        <v>982</v>
      </c>
      <c r="B47" t="s">
        <v>10</v>
      </c>
      <c r="C47" t="s">
        <v>19</v>
      </c>
      <c r="D47">
        <v>73.341635800000006</v>
      </c>
      <c r="E47">
        <v>548.48786819999998</v>
      </c>
      <c r="F47">
        <v>503.58762569999999</v>
      </c>
      <c r="G47">
        <v>244.10568860000001</v>
      </c>
      <c r="H47">
        <v>34.22919812</v>
      </c>
      <c r="I47" t="s">
        <v>18</v>
      </c>
      <c r="J47" s="1">
        <v>45908</v>
      </c>
    </row>
    <row r="48" spans="1:10" x14ac:dyDescent="0.3">
      <c r="C48" t="s">
        <v>19</v>
      </c>
      <c r="D48">
        <v>50.301615730000002</v>
      </c>
      <c r="E48">
        <v>501.80416489999999</v>
      </c>
      <c r="F48">
        <v>488.23644580000001</v>
      </c>
      <c r="G48">
        <v>173.9702911</v>
      </c>
      <c r="H48">
        <v>31.367643860000001</v>
      </c>
      <c r="I48" t="s">
        <v>44</v>
      </c>
      <c r="J48" s="1">
        <v>45764</v>
      </c>
    </row>
    <row r="49" spans="1:10" x14ac:dyDescent="0.3">
      <c r="A49">
        <v>245</v>
      </c>
      <c r="B49" t="s">
        <v>42</v>
      </c>
      <c r="C49" t="s">
        <v>15</v>
      </c>
      <c r="D49">
        <v>68.466265010000001</v>
      </c>
      <c r="E49">
        <v>554.87082680000003</v>
      </c>
      <c r="F49">
        <v>559.61372749999998</v>
      </c>
      <c r="G49">
        <v>166.20930139999999</v>
      </c>
      <c r="H49">
        <v>34.958751730000003</v>
      </c>
      <c r="I49" t="s">
        <v>40</v>
      </c>
      <c r="J49" s="1">
        <v>45171</v>
      </c>
    </row>
    <row r="50" spans="1:10" x14ac:dyDescent="0.3">
      <c r="A50">
        <v>287</v>
      </c>
      <c r="B50" t="s">
        <v>42</v>
      </c>
      <c r="C50" t="s">
        <v>15</v>
      </c>
      <c r="D50">
        <v>54.145418139999997</v>
      </c>
      <c r="E50">
        <v>428.99188809999998</v>
      </c>
      <c r="F50">
        <v>503.55653000000001</v>
      </c>
      <c r="G50">
        <v>162.0246669</v>
      </c>
      <c r="H50">
        <v>26.32463508</v>
      </c>
      <c r="I50" t="s">
        <v>44</v>
      </c>
      <c r="J50" s="1">
        <v>45213</v>
      </c>
    </row>
    <row r="51" spans="1:10" x14ac:dyDescent="0.3">
      <c r="A51">
        <v>290</v>
      </c>
      <c r="B51" t="s">
        <v>14</v>
      </c>
      <c r="C51" t="s">
        <v>17</v>
      </c>
      <c r="D51">
        <v>30.868935749999999</v>
      </c>
      <c r="E51">
        <v>503.25755770000001</v>
      </c>
      <c r="F51">
        <v>451.2591157</v>
      </c>
      <c r="G51">
        <v>201.6165116</v>
      </c>
      <c r="H51">
        <v>25.652836260000001</v>
      </c>
      <c r="I51" t="s">
        <v>44</v>
      </c>
      <c r="J51" s="1">
        <v>45216</v>
      </c>
    </row>
    <row r="52" spans="1:10" x14ac:dyDescent="0.3">
      <c r="A52">
        <v>599</v>
      </c>
      <c r="D52">
        <v>46.311697700000003</v>
      </c>
      <c r="E52">
        <v>466.42690049999999</v>
      </c>
      <c r="F52">
        <v>487.70005509999999</v>
      </c>
      <c r="H52">
        <v>23.32121669</v>
      </c>
      <c r="I52" t="s">
        <v>44</v>
      </c>
      <c r="J52" s="1">
        <v>45525</v>
      </c>
    </row>
    <row r="53" spans="1:10" x14ac:dyDescent="0.3">
      <c r="A53">
        <v>762</v>
      </c>
      <c r="B53" t="s">
        <v>42</v>
      </c>
      <c r="C53" t="s">
        <v>17</v>
      </c>
      <c r="D53">
        <v>38.786193619999999</v>
      </c>
      <c r="E53">
        <v>483.96289990000002</v>
      </c>
      <c r="F53">
        <v>434.1681274</v>
      </c>
      <c r="G53">
        <v>248.90359340000001</v>
      </c>
      <c r="H53">
        <v>29.6251037</v>
      </c>
      <c r="J53" s="1">
        <v>45688</v>
      </c>
    </row>
    <row r="54" spans="1:10" x14ac:dyDescent="0.3">
      <c r="A54">
        <v>60</v>
      </c>
      <c r="B54" t="s">
        <v>10</v>
      </c>
      <c r="C54" t="s">
        <v>19</v>
      </c>
      <c r="D54">
        <v>45.550166789999999</v>
      </c>
      <c r="E54">
        <v>508.25126990000001</v>
      </c>
      <c r="F54">
        <v>323.83877680000001</v>
      </c>
      <c r="G54">
        <v>169.50496190000001</v>
      </c>
      <c r="H54">
        <v>30.27631298</v>
      </c>
      <c r="I54" t="s">
        <v>18</v>
      </c>
      <c r="J54" s="1">
        <v>44986</v>
      </c>
    </row>
    <row r="55" spans="1:10" x14ac:dyDescent="0.3">
      <c r="A55">
        <v>623</v>
      </c>
      <c r="B55" t="s">
        <v>43</v>
      </c>
      <c r="C55" t="s">
        <v>19</v>
      </c>
      <c r="D55">
        <v>46.961691520000002</v>
      </c>
      <c r="E55">
        <v>533.3727864</v>
      </c>
      <c r="F55">
        <v>293.2835968</v>
      </c>
      <c r="G55">
        <v>201.4039387</v>
      </c>
      <c r="H55">
        <v>27.76526136</v>
      </c>
      <c r="I55" t="s">
        <v>40</v>
      </c>
      <c r="J55" s="1">
        <v>45549</v>
      </c>
    </row>
    <row r="56" spans="1:10" x14ac:dyDescent="0.3">
      <c r="A56">
        <v>319</v>
      </c>
      <c r="C56" t="s">
        <v>41</v>
      </c>
      <c r="D56">
        <v>40.850409319999997</v>
      </c>
      <c r="E56">
        <v>404.78211929999998</v>
      </c>
      <c r="F56">
        <v>482.98290050000003</v>
      </c>
      <c r="G56">
        <v>133.95373470000001</v>
      </c>
      <c r="H56">
        <v>32.306152470000001</v>
      </c>
      <c r="J56" s="1">
        <v>45245</v>
      </c>
    </row>
    <row r="57" spans="1:10" x14ac:dyDescent="0.3">
      <c r="A57">
        <v>11</v>
      </c>
      <c r="C57" t="s">
        <v>17</v>
      </c>
      <c r="D57">
        <v>57.077155410000003</v>
      </c>
      <c r="E57">
        <v>771.59465720000003</v>
      </c>
      <c r="F57">
        <v>334.91587240000001</v>
      </c>
      <c r="G57">
        <v>181.64647969999999</v>
      </c>
      <c r="H57">
        <v>37.644644970000002</v>
      </c>
      <c r="I57" t="s">
        <v>44</v>
      </c>
      <c r="J57" s="1">
        <v>44937</v>
      </c>
    </row>
    <row r="58" spans="1:10" x14ac:dyDescent="0.3">
      <c r="A58">
        <v>238</v>
      </c>
      <c r="B58" t="s">
        <v>10</v>
      </c>
      <c r="C58" t="s">
        <v>17</v>
      </c>
      <c r="D58">
        <v>57.730831889999997</v>
      </c>
      <c r="E58">
        <v>533.18438630000003</v>
      </c>
      <c r="F58">
        <v>385.86112279999998</v>
      </c>
      <c r="G58">
        <v>209.126464</v>
      </c>
      <c r="H58">
        <v>35.454833370000003</v>
      </c>
      <c r="I58" t="s">
        <v>44</v>
      </c>
      <c r="J58" s="1">
        <v>45164</v>
      </c>
    </row>
    <row r="59" spans="1:10" x14ac:dyDescent="0.3">
      <c r="A59">
        <v>332</v>
      </c>
      <c r="B59" t="s">
        <v>14</v>
      </c>
      <c r="D59">
        <v>52.253427539999997</v>
      </c>
      <c r="E59">
        <v>582.05554189999998</v>
      </c>
      <c r="F59">
        <v>512.96902829999999</v>
      </c>
      <c r="G59">
        <v>234.16301949999999</v>
      </c>
      <c r="H59">
        <v>21.944152679999998</v>
      </c>
      <c r="I59" t="s">
        <v>40</v>
      </c>
      <c r="J59" s="1">
        <v>45258</v>
      </c>
    </row>
    <row r="60" spans="1:10" x14ac:dyDescent="0.3">
      <c r="A60">
        <v>706</v>
      </c>
      <c r="B60" t="s">
        <v>10</v>
      </c>
      <c r="C60" t="s">
        <v>19</v>
      </c>
      <c r="D60">
        <v>45.722443130000002</v>
      </c>
      <c r="E60">
        <v>575.95464700000002</v>
      </c>
      <c r="F60">
        <v>428.84777320000001</v>
      </c>
      <c r="G60">
        <v>187.6143079</v>
      </c>
      <c r="H60">
        <v>35.06112212</v>
      </c>
      <c r="I60" t="s">
        <v>16</v>
      </c>
      <c r="J60" s="1">
        <v>45632</v>
      </c>
    </row>
    <row r="61" spans="1:10" x14ac:dyDescent="0.3">
      <c r="A61">
        <v>87</v>
      </c>
      <c r="B61" t="s">
        <v>10</v>
      </c>
      <c r="C61" t="s">
        <v>15</v>
      </c>
      <c r="D61">
        <v>44.977442840000002</v>
      </c>
      <c r="E61">
        <v>584.33726220000005</v>
      </c>
      <c r="F61">
        <v>528.39604680000002</v>
      </c>
      <c r="G61">
        <v>151.82082779999999</v>
      </c>
      <c r="H61">
        <v>17.642200460000002</v>
      </c>
      <c r="I61" t="s">
        <v>40</v>
      </c>
      <c r="J61" s="1">
        <v>45013</v>
      </c>
    </row>
    <row r="62" spans="1:10" x14ac:dyDescent="0.3">
      <c r="A62">
        <v>804</v>
      </c>
      <c r="B62" t="s">
        <v>43</v>
      </c>
      <c r="C62" t="s">
        <v>11</v>
      </c>
      <c r="D62">
        <v>47.037325559999999</v>
      </c>
      <c r="E62">
        <v>507.4776268</v>
      </c>
      <c r="F62">
        <v>284.92807599999998</v>
      </c>
      <c r="G62">
        <v>136.76163579999999</v>
      </c>
      <c r="H62">
        <v>32.612550349999999</v>
      </c>
      <c r="I62" t="s">
        <v>18</v>
      </c>
      <c r="J62" s="1">
        <v>45730</v>
      </c>
    </row>
    <row r="63" spans="1:10" x14ac:dyDescent="0.3">
      <c r="A63">
        <v>175</v>
      </c>
      <c r="B63" t="s">
        <v>43</v>
      </c>
      <c r="D63">
        <v>51.975659899999997</v>
      </c>
      <c r="E63">
        <v>512.07568060000006</v>
      </c>
      <c r="F63">
        <v>357.65925570000002</v>
      </c>
      <c r="G63">
        <v>205.97993389999999</v>
      </c>
      <c r="H63">
        <v>30.377088709999999</v>
      </c>
      <c r="I63" t="s">
        <v>40</v>
      </c>
      <c r="J63" s="1">
        <v>45101</v>
      </c>
    </row>
    <row r="64" spans="1:10" x14ac:dyDescent="0.3">
      <c r="A64">
        <v>313</v>
      </c>
      <c r="B64" t="s">
        <v>14</v>
      </c>
      <c r="C64" t="s">
        <v>15</v>
      </c>
      <c r="D64">
        <v>47.395014379999999</v>
      </c>
      <c r="E64">
        <v>626.56295360000001</v>
      </c>
      <c r="F64">
        <v>664.21784639999998</v>
      </c>
      <c r="G64">
        <v>121.327512</v>
      </c>
      <c r="H64">
        <v>25.922486490000001</v>
      </c>
      <c r="I64" t="s">
        <v>18</v>
      </c>
      <c r="J64" s="1">
        <v>45239</v>
      </c>
    </row>
    <row r="65" spans="1:10" x14ac:dyDescent="0.3">
      <c r="A65">
        <v>463</v>
      </c>
      <c r="B65" t="s">
        <v>13</v>
      </c>
      <c r="C65" t="s">
        <v>15</v>
      </c>
      <c r="D65">
        <v>42.18287479</v>
      </c>
      <c r="E65">
        <v>413.54342730000002</v>
      </c>
      <c r="F65">
        <v>328.23762820000002</v>
      </c>
      <c r="G65">
        <v>161.92851229999999</v>
      </c>
      <c r="H65">
        <v>30.31129928</v>
      </c>
      <c r="I65" t="s">
        <v>18</v>
      </c>
      <c r="J65" s="1">
        <v>45389</v>
      </c>
    </row>
    <row r="66" spans="1:10" x14ac:dyDescent="0.3">
      <c r="A66">
        <v>219</v>
      </c>
      <c r="B66" t="s">
        <v>14</v>
      </c>
      <c r="C66" t="s">
        <v>17</v>
      </c>
      <c r="D66">
        <v>64.453846900000002</v>
      </c>
      <c r="E66">
        <v>391.09198839999999</v>
      </c>
      <c r="G66">
        <v>133.5407433</v>
      </c>
      <c r="H66">
        <v>29.803817630000001</v>
      </c>
      <c r="I66" t="s">
        <v>44</v>
      </c>
      <c r="J66" s="1">
        <v>45145</v>
      </c>
    </row>
    <row r="67" spans="1:10" x14ac:dyDescent="0.3">
      <c r="A67">
        <v>31</v>
      </c>
      <c r="B67" t="s">
        <v>10</v>
      </c>
      <c r="C67" t="s">
        <v>15</v>
      </c>
      <c r="D67">
        <v>47.231011600000002</v>
      </c>
      <c r="E67">
        <v>410.56500870000002</v>
      </c>
      <c r="F67">
        <v>530.80103380000003</v>
      </c>
      <c r="G67">
        <v>173.9046625</v>
      </c>
      <c r="H67">
        <v>26.3652552</v>
      </c>
      <c r="I67" t="s">
        <v>40</v>
      </c>
      <c r="J67" s="1">
        <v>44957</v>
      </c>
    </row>
    <row r="68" spans="1:10" x14ac:dyDescent="0.3">
      <c r="A68">
        <v>548</v>
      </c>
      <c r="C68" t="s">
        <v>11</v>
      </c>
      <c r="D68">
        <v>64.571957600000005</v>
      </c>
      <c r="E68">
        <v>600.55352259999995</v>
      </c>
      <c r="F68">
        <v>609.34820869999999</v>
      </c>
      <c r="G68">
        <v>185.2847495</v>
      </c>
      <c r="I68" t="s">
        <v>40</v>
      </c>
      <c r="J68" s="1">
        <v>45474</v>
      </c>
    </row>
    <row r="69" spans="1:10" x14ac:dyDescent="0.3">
      <c r="A69">
        <v>665</v>
      </c>
      <c r="B69" t="s">
        <v>10</v>
      </c>
      <c r="C69" t="s">
        <v>15</v>
      </c>
      <c r="D69">
        <v>42.892398960000001</v>
      </c>
      <c r="E69">
        <v>535.60026289999996</v>
      </c>
      <c r="F69">
        <v>482.66447210000001</v>
      </c>
      <c r="G69">
        <v>188.02038379999999</v>
      </c>
      <c r="H69">
        <v>34.284981219999999</v>
      </c>
      <c r="I69" t="s">
        <v>44</v>
      </c>
      <c r="J69" s="1">
        <v>45591</v>
      </c>
    </row>
    <row r="70" spans="1:10" x14ac:dyDescent="0.3">
      <c r="A70">
        <v>55</v>
      </c>
      <c r="B70" t="s">
        <v>14</v>
      </c>
      <c r="C70" t="s">
        <v>19</v>
      </c>
      <c r="D70">
        <v>51.954102849999998</v>
      </c>
      <c r="E70">
        <v>453.6731044</v>
      </c>
      <c r="F70">
        <v>471.80668530000003</v>
      </c>
      <c r="G70">
        <v>195.00151099999999</v>
      </c>
      <c r="H70">
        <v>25.612726299999999</v>
      </c>
      <c r="I70" t="s">
        <v>44</v>
      </c>
      <c r="J70" s="1">
        <v>44981</v>
      </c>
    </row>
    <row r="71" spans="1:10" x14ac:dyDescent="0.3">
      <c r="A71">
        <v>24</v>
      </c>
      <c r="B71" t="s">
        <v>10</v>
      </c>
      <c r="C71" t="s">
        <v>19</v>
      </c>
      <c r="D71">
        <v>46.839021320000001</v>
      </c>
      <c r="E71">
        <v>475.85855900000001</v>
      </c>
      <c r="F71">
        <v>540.76403730000004</v>
      </c>
      <c r="G71">
        <v>275.40237960000002</v>
      </c>
      <c r="H71">
        <v>28.039092190000002</v>
      </c>
      <c r="I71" t="s">
        <v>16</v>
      </c>
      <c r="J71" s="1">
        <v>44950</v>
      </c>
    </row>
    <row r="72" spans="1:10" x14ac:dyDescent="0.3">
      <c r="A72">
        <v>257</v>
      </c>
      <c r="C72" t="s">
        <v>41</v>
      </c>
      <c r="D72">
        <v>47.160581890000003</v>
      </c>
      <c r="E72">
        <v>499.36484430000002</v>
      </c>
      <c r="F72">
        <v>590.15612050000004</v>
      </c>
      <c r="G72">
        <v>242.34732510000001</v>
      </c>
      <c r="H72">
        <v>27.070470199999999</v>
      </c>
      <c r="I72" t="s">
        <v>40</v>
      </c>
      <c r="J72" s="1">
        <v>45183</v>
      </c>
    </row>
    <row r="73" spans="1:10" x14ac:dyDescent="0.3">
      <c r="A73">
        <v>451</v>
      </c>
      <c r="B73" t="s">
        <v>12</v>
      </c>
      <c r="C73" t="s">
        <v>11</v>
      </c>
      <c r="E73">
        <v>649.85825720000003</v>
      </c>
      <c r="F73">
        <v>467.83460919999999</v>
      </c>
      <c r="G73">
        <v>130.5200418</v>
      </c>
      <c r="H73">
        <v>24.608909149999999</v>
      </c>
      <c r="I73" t="s">
        <v>40</v>
      </c>
      <c r="J73" s="1">
        <v>45377</v>
      </c>
    </row>
    <row r="74" spans="1:10" x14ac:dyDescent="0.3">
      <c r="A74">
        <v>4</v>
      </c>
      <c r="C74" t="s">
        <v>41</v>
      </c>
      <c r="D74">
        <v>47.705973970000002</v>
      </c>
      <c r="E74">
        <v>604.58967150000001</v>
      </c>
      <c r="F74">
        <v>253.82563690000001</v>
      </c>
      <c r="G74">
        <v>244.0142539</v>
      </c>
      <c r="H74">
        <v>35.996683900000001</v>
      </c>
      <c r="J74" s="1">
        <v>44930</v>
      </c>
    </row>
    <row r="75" spans="1:10" x14ac:dyDescent="0.3">
      <c r="A75">
        <v>834</v>
      </c>
      <c r="C75" t="s">
        <v>11</v>
      </c>
      <c r="D75">
        <v>67.495813049999995</v>
      </c>
      <c r="E75">
        <v>528.21874070000001</v>
      </c>
      <c r="F75">
        <v>490.20948379999999</v>
      </c>
      <c r="G75">
        <v>272.73282390000003</v>
      </c>
      <c r="H75">
        <v>33.006289809999998</v>
      </c>
      <c r="J75" s="1">
        <v>45760</v>
      </c>
    </row>
    <row r="76" spans="1:10" x14ac:dyDescent="0.3">
      <c r="A76">
        <v>553</v>
      </c>
      <c r="B76" t="s">
        <v>43</v>
      </c>
      <c r="C76" t="s">
        <v>19</v>
      </c>
      <c r="D76">
        <v>51.811165099999997</v>
      </c>
      <c r="E76">
        <v>606.4876739</v>
      </c>
      <c r="F76">
        <v>520.76686310000002</v>
      </c>
      <c r="G76">
        <v>207.54359360000001</v>
      </c>
      <c r="H76">
        <v>32.558894889999998</v>
      </c>
      <c r="J76" s="1">
        <v>45479</v>
      </c>
    </row>
    <row r="77" spans="1:10" x14ac:dyDescent="0.3">
      <c r="A77">
        <v>639</v>
      </c>
      <c r="B77" t="s">
        <v>12</v>
      </c>
      <c r="D77">
        <v>38.896004830000003</v>
      </c>
      <c r="E77">
        <v>392.2128189</v>
      </c>
      <c r="F77">
        <v>557.93968380000001</v>
      </c>
      <c r="G77">
        <v>190.15046760000001</v>
      </c>
      <c r="H77">
        <v>25.802303810000002</v>
      </c>
      <c r="I77" t="s">
        <v>16</v>
      </c>
      <c r="J77" s="1">
        <v>45565</v>
      </c>
    </row>
    <row r="78" spans="1:10" x14ac:dyDescent="0.3">
      <c r="A78">
        <v>478</v>
      </c>
      <c r="B78" t="s">
        <v>13</v>
      </c>
      <c r="D78">
        <v>55.934291729999998</v>
      </c>
      <c r="E78">
        <v>456.09940490000002</v>
      </c>
      <c r="F78">
        <v>548.84244360000002</v>
      </c>
      <c r="G78">
        <v>121.0662399</v>
      </c>
      <c r="H78">
        <v>26.627928430000001</v>
      </c>
      <c r="I78" t="s">
        <v>18</v>
      </c>
      <c r="J78" s="1">
        <v>45404</v>
      </c>
    </row>
    <row r="79" spans="1:10" x14ac:dyDescent="0.3">
      <c r="A79">
        <v>957</v>
      </c>
      <c r="B79" t="s">
        <v>13</v>
      </c>
      <c r="D79">
        <v>49.065659289999999</v>
      </c>
      <c r="E79">
        <v>429.72719840000002</v>
      </c>
      <c r="F79">
        <v>515.65001419999999</v>
      </c>
      <c r="G79">
        <v>219.04764180000001</v>
      </c>
      <c r="H79">
        <v>17.180230160000001</v>
      </c>
      <c r="I79" t="s">
        <v>44</v>
      </c>
      <c r="J79" s="1">
        <v>45883</v>
      </c>
    </row>
    <row r="80" spans="1:10" x14ac:dyDescent="0.3">
      <c r="A80">
        <v>663</v>
      </c>
      <c r="B80" t="s">
        <v>43</v>
      </c>
      <c r="C80" t="s">
        <v>19</v>
      </c>
      <c r="E80">
        <v>2060.3480850000001</v>
      </c>
      <c r="F80">
        <v>543.73159229999999</v>
      </c>
      <c r="G80">
        <v>141.4391913</v>
      </c>
      <c r="H80">
        <v>30.91899686</v>
      </c>
      <c r="I80" t="s">
        <v>44</v>
      </c>
      <c r="J80" s="1">
        <v>45589</v>
      </c>
    </row>
    <row r="81" spans="1:10" x14ac:dyDescent="0.3">
      <c r="B81" t="s">
        <v>13</v>
      </c>
      <c r="C81" t="s">
        <v>11</v>
      </c>
      <c r="D81">
        <v>68.113750289999999</v>
      </c>
      <c r="E81">
        <v>553.83240220000005</v>
      </c>
      <c r="F81">
        <v>518.29923480000002</v>
      </c>
      <c r="G81">
        <v>203.9451416</v>
      </c>
      <c r="H81">
        <v>29.938862069999999</v>
      </c>
      <c r="J81" s="1">
        <v>45445</v>
      </c>
    </row>
    <row r="82" spans="1:10" x14ac:dyDescent="0.3">
      <c r="A82">
        <v>961</v>
      </c>
      <c r="B82" t="s">
        <v>14</v>
      </c>
      <c r="C82" t="s">
        <v>11</v>
      </c>
      <c r="D82">
        <v>34.60333481</v>
      </c>
      <c r="E82">
        <v>569.50206949999995</v>
      </c>
      <c r="F82">
        <v>466.01875460000002</v>
      </c>
      <c r="G82">
        <v>159.40391700000001</v>
      </c>
      <c r="H82">
        <v>30.505167440000001</v>
      </c>
      <c r="J82" s="1">
        <v>45887</v>
      </c>
    </row>
    <row r="83" spans="1:10" x14ac:dyDescent="0.3">
      <c r="A83">
        <v>954</v>
      </c>
      <c r="B83" t="s">
        <v>12</v>
      </c>
      <c r="C83" t="s">
        <v>41</v>
      </c>
      <c r="D83">
        <v>46.381886610000002</v>
      </c>
      <c r="E83">
        <v>483.37785150000002</v>
      </c>
      <c r="F83">
        <v>634.99622720000002</v>
      </c>
      <c r="G83">
        <v>218.8941634</v>
      </c>
      <c r="H83">
        <v>26.625607519999999</v>
      </c>
      <c r="I83" t="s">
        <v>40</v>
      </c>
      <c r="J83" s="1">
        <v>45880</v>
      </c>
    </row>
    <row r="84" spans="1:10" x14ac:dyDescent="0.3">
      <c r="A84">
        <v>980</v>
      </c>
      <c r="C84" t="s">
        <v>15</v>
      </c>
      <c r="D84">
        <v>38.918354690000001</v>
      </c>
      <c r="E84">
        <v>529.83918470000003</v>
      </c>
      <c r="F84">
        <v>583.70923379999999</v>
      </c>
      <c r="G84">
        <v>218.2239864</v>
      </c>
      <c r="H84">
        <v>25.513725359999999</v>
      </c>
      <c r="J84" s="1">
        <v>45906</v>
      </c>
    </row>
    <row r="85" spans="1:10" x14ac:dyDescent="0.3">
      <c r="A85">
        <v>576</v>
      </c>
      <c r="B85" t="s">
        <v>42</v>
      </c>
      <c r="C85" t="s">
        <v>41</v>
      </c>
      <c r="D85">
        <v>48.647571040000003</v>
      </c>
      <c r="E85">
        <v>347.27800780000001</v>
      </c>
      <c r="F85">
        <v>317.01459979999998</v>
      </c>
      <c r="G85">
        <v>239.7150566</v>
      </c>
      <c r="H85">
        <v>18.726945610000001</v>
      </c>
      <c r="I85" t="s">
        <v>16</v>
      </c>
      <c r="J85" s="1">
        <v>45502</v>
      </c>
    </row>
    <row r="86" spans="1:10" x14ac:dyDescent="0.3">
      <c r="A86">
        <v>540</v>
      </c>
      <c r="C86" t="s">
        <v>41</v>
      </c>
      <c r="D86">
        <v>38.93691819</v>
      </c>
      <c r="E86">
        <v>388.29258579999998</v>
      </c>
      <c r="F86">
        <v>322.53810270000002</v>
      </c>
      <c r="G86">
        <v>197.76272080000001</v>
      </c>
      <c r="H86">
        <v>29.415634359999999</v>
      </c>
      <c r="I86" t="s">
        <v>16</v>
      </c>
      <c r="J86" s="1">
        <v>45466</v>
      </c>
    </row>
    <row r="87" spans="1:10" x14ac:dyDescent="0.3">
      <c r="A87">
        <v>216</v>
      </c>
      <c r="B87" t="s">
        <v>14</v>
      </c>
      <c r="C87" t="s">
        <v>19</v>
      </c>
      <c r="D87">
        <v>49.800646049999997</v>
      </c>
      <c r="E87">
        <v>316.42887259999998</v>
      </c>
      <c r="F87">
        <v>308.62218050000001</v>
      </c>
      <c r="G87">
        <v>175.6163013</v>
      </c>
      <c r="H87">
        <v>34.949745200000002</v>
      </c>
      <c r="J87" s="1">
        <v>45142</v>
      </c>
    </row>
    <row r="88" spans="1:10" x14ac:dyDescent="0.3">
      <c r="A88">
        <v>738</v>
      </c>
      <c r="B88" t="s">
        <v>13</v>
      </c>
      <c r="D88">
        <v>30.44723574</v>
      </c>
      <c r="E88">
        <v>702.00491069999998</v>
      </c>
      <c r="F88">
        <v>502.47546599999998</v>
      </c>
      <c r="G88">
        <v>213.5418258</v>
      </c>
      <c r="H88">
        <v>32.543289020000003</v>
      </c>
      <c r="I88" t="s">
        <v>40</v>
      </c>
      <c r="J88" s="1">
        <v>45664</v>
      </c>
    </row>
    <row r="89" spans="1:10" x14ac:dyDescent="0.3">
      <c r="A89">
        <v>999</v>
      </c>
      <c r="B89" t="s">
        <v>10</v>
      </c>
      <c r="C89" t="s">
        <v>17</v>
      </c>
      <c r="D89">
        <v>48.753822040000003</v>
      </c>
      <c r="E89">
        <v>389.5588722</v>
      </c>
      <c r="F89">
        <v>339.89589419999999</v>
      </c>
      <c r="G89">
        <v>185.4700761</v>
      </c>
      <c r="H89">
        <v>36.199684040000001</v>
      </c>
      <c r="I89" t="s">
        <v>16</v>
      </c>
      <c r="J89" s="1">
        <v>45925</v>
      </c>
    </row>
    <row r="90" spans="1:10" x14ac:dyDescent="0.3">
      <c r="A90">
        <v>714</v>
      </c>
      <c r="B90" t="s">
        <v>43</v>
      </c>
      <c r="C90" t="s">
        <v>11</v>
      </c>
      <c r="D90">
        <v>38.368105389999997</v>
      </c>
      <c r="E90">
        <v>506.69157239999998</v>
      </c>
      <c r="F90">
        <v>696.78194529999996</v>
      </c>
      <c r="G90">
        <v>220.03459190000001</v>
      </c>
      <c r="H90">
        <v>31.210665779999999</v>
      </c>
      <c r="I90" t="s">
        <v>18</v>
      </c>
      <c r="J90" s="1">
        <v>45640</v>
      </c>
    </row>
    <row r="91" spans="1:10" x14ac:dyDescent="0.3">
      <c r="A91">
        <v>668</v>
      </c>
      <c r="B91" t="s">
        <v>14</v>
      </c>
      <c r="C91" t="s">
        <v>41</v>
      </c>
      <c r="D91">
        <v>50.570131359999998</v>
      </c>
      <c r="E91">
        <v>644.17167610000001</v>
      </c>
      <c r="F91">
        <v>266.4684661</v>
      </c>
      <c r="G91">
        <v>170.66636130000001</v>
      </c>
      <c r="H91">
        <v>24.758744180000001</v>
      </c>
      <c r="J91" s="1">
        <v>45594</v>
      </c>
    </row>
    <row r="92" spans="1:10" x14ac:dyDescent="0.3">
      <c r="A92">
        <v>40</v>
      </c>
      <c r="C92" t="s">
        <v>41</v>
      </c>
      <c r="D92">
        <v>54.788721639999999</v>
      </c>
      <c r="E92">
        <v>618.24538270000005</v>
      </c>
      <c r="F92">
        <v>443.80393400000003</v>
      </c>
      <c r="G92">
        <v>190.2661669</v>
      </c>
      <c r="H92">
        <v>35.704316079999998</v>
      </c>
      <c r="I92" t="s">
        <v>40</v>
      </c>
      <c r="J92" s="1">
        <v>44966</v>
      </c>
    </row>
    <row r="93" spans="1:10" x14ac:dyDescent="0.3">
      <c r="A93">
        <v>232</v>
      </c>
      <c r="B93" t="s">
        <v>14</v>
      </c>
      <c r="C93" t="s">
        <v>17</v>
      </c>
      <c r="D93">
        <v>40.157276250000002</v>
      </c>
      <c r="E93">
        <v>491.69663969999999</v>
      </c>
      <c r="F93">
        <v>506.84979829999997</v>
      </c>
      <c r="G93">
        <v>331.88474439999999</v>
      </c>
      <c r="H93">
        <v>27.231524230000002</v>
      </c>
      <c r="I93" t="s">
        <v>16</v>
      </c>
      <c r="J93" s="1">
        <v>45158</v>
      </c>
    </row>
    <row r="94" spans="1:10" x14ac:dyDescent="0.3">
      <c r="A94">
        <v>495</v>
      </c>
      <c r="B94" t="s">
        <v>12</v>
      </c>
      <c r="C94" t="s">
        <v>11</v>
      </c>
      <c r="D94">
        <v>53.041261710000001</v>
      </c>
      <c r="E94">
        <v>540.78767819999996</v>
      </c>
      <c r="F94">
        <v>417.9380299</v>
      </c>
      <c r="G94">
        <v>254.7335818</v>
      </c>
      <c r="I94" t="s">
        <v>40</v>
      </c>
      <c r="J94" s="1">
        <v>45421</v>
      </c>
    </row>
    <row r="95" spans="1:10" x14ac:dyDescent="0.3">
      <c r="A95">
        <v>705</v>
      </c>
      <c r="D95">
        <v>58.338073389999998</v>
      </c>
      <c r="E95">
        <v>571.26284840000005</v>
      </c>
      <c r="F95">
        <v>578.02415629999996</v>
      </c>
      <c r="G95">
        <v>160.01850880000001</v>
      </c>
      <c r="H95">
        <v>35.360983580000003</v>
      </c>
    </row>
    <row r="96" spans="1:10" x14ac:dyDescent="0.3">
      <c r="A96">
        <v>968</v>
      </c>
      <c r="B96" t="s">
        <v>14</v>
      </c>
      <c r="C96" t="s">
        <v>15</v>
      </c>
      <c r="D96" t="s">
        <v>45</v>
      </c>
      <c r="E96">
        <v>401.90128019999997</v>
      </c>
      <c r="F96">
        <v>581.75186080000003</v>
      </c>
      <c r="G96">
        <v>242.82942209999999</v>
      </c>
      <c r="I96" t="s">
        <v>44</v>
      </c>
      <c r="J96" s="1">
        <v>45894</v>
      </c>
    </row>
    <row r="97" spans="1:10" x14ac:dyDescent="0.3">
      <c r="A97">
        <v>67</v>
      </c>
      <c r="B97" t="s">
        <v>12</v>
      </c>
      <c r="C97" t="s">
        <v>41</v>
      </c>
      <c r="D97">
        <v>44.205367260000003</v>
      </c>
      <c r="E97">
        <v>484.50753980000002</v>
      </c>
      <c r="F97">
        <v>520.32854020000002</v>
      </c>
      <c r="G97">
        <v>173.95681669999999</v>
      </c>
      <c r="H97">
        <v>36.72159104</v>
      </c>
      <c r="I97" t="s">
        <v>16</v>
      </c>
      <c r="J97" s="1">
        <v>44993</v>
      </c>
    </row>
    <row r="98" spans="1:10" x14ac:dyDescent="0.3">
      <c r="A98">
        <v>295</v>
      </c>
      <c r="B98" t="s">
        <v>43</v>
      </c>
      <c r="C98" t="s">
        <v>15</v>
      </c>
      <c r="D98">
        <v>33.769541070000002</v>
      </c>
      <c r="E98">
        <v>554.92307970000002</v>
      </c>
      <c r="F98">
        <v>708.18711059999998</v>
      </c>
      <c r="G98">
        <v>252.85081410000001</v>
      </c>
      <c r="H98">
        <v>26.01836677</v>
      </c>
      <c r="I98" t="s">
        <v>40</v>
      </c>
      <c r="J98" s="1">
        <v>45221</v>
      </c>
    </row>
    <row r="99" spans="1:10" x14ac:dyDescent="0.3">
      <c r="A99">
        <v>68</v>
      </c>
      <c r="B99" t="s">
        <v>10</v>
      </c>
      <c r="C99" t="s">
        <v>19</v>
      </c>
      <c r="D99">
        <v>60.890099820000003</v>
      </c>
      <c r="E99">
        <v>570.07362850000004</v>
      </c>
      <c r="F99">
        <v>714.86094400000002</v>
      </c>
      <c r="G99">
        <v>120.9624591</v>
      </c>
      <c r="H99">
        <v>36.466296380000003</v>
      </c>
      <c r="J99" s="1">
        <v>44994</v>
      </c>
    </row>
    <row r="100" spans="1:10" x14ac:dyDescent="0.3">
      <c r="A100">
        <v>480</v>
      </c>
      <c r="C100" t="s">
        <v>41</v>
      </c>
      <c r="D100">
        <v>53.592094000000003</v>
      </c>
      <c r="E100">
        <v>450.75539259999999</v>
      </c>
      <c r="F100">
        <v>689.60867250000001</v>
      </c>
      <c r="G100">
        <v>258.94742000000002</v>
      </c>
      <c r="H100">
        <v>26.148369670000001</v>
      </c>
      <c r="J100" s="1">
        <v>45406</v>
      </c>
    </row>
    <row r="101" spans="1:10" x14ac:dyDescent="0.3">
      <c r="A101">
        <v>329</v>
      </c>
      <c r="B101" t="s">
        <v>10</v>
      </c>
      <c r="C101" t="s">
        <v>17</v>
      </c>
      <c r="D101">
        <v>50.751870879999998</v>
      </c>
      <c r="E101">
        <v>397.00653290000002</v>
      </c>
      <c r="F101">
        <v>446.05359349999998</v>
      </c>
      <c r="G101">
        <v>207.25403249999999</v>
      </c>
      <c r="H101">
        <v>31.80512573</v>
      </c>
      <c r="I101" t="s">
        <v>40</v>
      </c>
      <c r="J101" s="1">
        <v>45255</v>
      </c>
    </row>
    <row r="102" spans="1:10" x14ac:dyDescent="0.3">
      <c r="A102">
        <v>263</v>
      </c>
      <c r="B102" t="s">
        <v>42</v>
      </c>
      <c r="C102" t="s">
        <v>19</v>
      </c>
      <c r="D102">
        <v>47.246767759999997</v>
      </c>
      <c r="E102">
        <v>430.43286219999999</v>
      </c>
      <c r="F102">
        <v>383.0137909</v>
      </c>
      <c r="G102">
        <v>254.59730859999999</v>
      </c>
      <c r="H102">
        <v>21.45418222</v>
      </c>
      <c r="I102" t="s">
        <v>16</v>
      </c>
      <c r="J102" s="1">
        <v>45189</v>
      </c>
    </row>
    <row r="103" spans="1:10" x14ac:dyDescent="0.3">
      <c r="A103">
        <v>108</v>
      </c>
      <c r="B103" t="s">
        <v>12</v>
      </c>
      <c r="C103" t="s">
        <v>19</v>
      </c>
      <c r="D103">
        <v>43.143897189999997</v>
      </c>
      <c r="E103">
        <v>451.1803003</v>
      </c>
      <c r="F103">
        <v>449.28833259999999</v>
      </c>
      <c r="G103">
        <v>271.32964900000002</v>
      </c>
      <c r="H103">
        <v>30.663939079999999</v>
      </c>
      <c r="J103" s="1">
        <v>45034</v>
      </c>
    </row>
    <row r="104" spans="1:10" x14ac:dyDescent="0.3">
      <c r="B104" t="s">
        <v>42</v>
      </c>
      <c r="C104" t="s">
        <v>17</v>
      </c>
      <c r="D104">
        <v>58.994649709999997</v>
      </c>
      <c r="E104">
        <v>500.98806100000002</v>
      </c>
      <c r="F104">
        <v>414.04744979999998</v>
      </c>
      <c r="G104">
        <v>157.12162129999999</v>
      </c>
      <c r="H104">
        <v>26.60923769</v>
      </c>
      <c r="I104" t="s">
        <v>44</v>
      </c>
      <c r="J104" s="1">
        <v>45910</v>
      </c>
    </row>
    <row r="105" spans="1:10" x14ac:dyDescent="0.3">
      <c r="A105">
        <v>347</v>
      </c>
      <c r="B105" t="s">
        <v>10</v>
      </c>
      <c r="C105" t="s">
        <v>11</v>
      </c>
      <c r="D105">
        <v>58.363237230000003</v>
      </c>
      <c r="E105">
        <v>548.03046529999995</v>
      </c>
      <c r="F105">
        <v>604.2869571</v>
      </c>
      <c r="G105">
        <v>170.73666</v>
      </c>
      <c r="H105">
        <v>35.604242220000003</v>
      </c>
      <c r="I105" t="s">
        <v>44</v>
      </c>
      <c r="J105" s="1">
        <v>45273</v>
      </c>
    </row>
    <row r="106" spans="1:10" x14ac:dyDescent="0.3">
      <c r="A106">
        <v>299</v>
      </c>
      <c r="B106" t="s">
        <v>13</v>
      </c>
      <c r="D106">
        <v>44.134359199999999</v>
      </c>
      <c r="E106">
        <v>577.92738870000005</v>
      </c>
      <c r="F106">
        <v>621.86808350000001</v>
      </c>
      <c r="G106">
        <v>162.14365770000001</v>
      </c>
      <c r="H106">
        <v>29.866243770000001</v>
      </c>
      <c r="I106" t="s">
        <v>18</v>
      </c>
      <c r="J106" s="1">
        <v>45225</v>
      </c>
    </row>
    <row r="107" spans="1:10" x14ac:dyDescent="0.3">
      <c r="A107">
        <v>644</v>
      </c>
      <c r="B107" t="s">
        <v>43</v>
      </c>
      <c r="C107" t="s">
        <v>17</v>
      </c>
      <c r="D107">
        <v>53.479061160000001</v>
      </c>
      <c r="E107">
        <v>438.23908180000001</v>
      </c>
      <c r="F107">
        <v>436.10403930000001</v>
      </c>
      <c r="G107">
        <v>194.5797604</v>
      </c>
      <c r="H107">
        <v>28.83147494</v>
      </c>
      <c r="I107" t="s">
        <v>18</v>
      </c>
      <c r="J107" s="1">
        <v>45570</v>
      </c>
    </row>
    <row r="108" spans="1:10" x14ac:dyDescent="0.3">
      <c r="A108">
        <v>308</v>
      </c>
      <c r="B108" t="s">
        <v>10</v>
      </c>
      <c r="C108" t="s">
        <v>17</v>
      </c>
      <c r="D108">
        <v>71.178559500000006</v>
      </c>
      <c r="E108">
        <v>397.37803609999997</v>
      </c>
      <c r="F108">
        <v>330.52873060000002</v>
      </c>
      <c r="G108">
        <v>170.1791241</v>
      </c>
      <c r="H108">
        <v>34.078825819999999</v>
      </c>
      <c r="J108" s="1">
        <v>45234</v>
      </c>
    </row>
    <row r="109" spans="1:10" x14ac:dyDescent="0.3">
      <c r="A109">
        <v>855</v>
      </c>
      <c r="B109" t="s">
        <v>10</v>
      </c>
      <c r="C109" t="s">
        <v>41</v>
      </c>
      <c r="D109">
        <v>41.056673770000003</v>
      </c>
      <c r="E109">
        <v>381.56398280000002</v>
      </c>
      <c r="F109">
        <v>453.52287000000001</v>
      </c>
      <c r="G109">
        <v>197.15297709999999</v>
      </c>
      <c r="H109">
        <v>23.716763749999998</v>
      </c>
      <c r="J109" s="1">
        <v>45781</v>
      </c>
    </row>
    <row r="110" spans="1:10" x14ac:dyDescent="0.3">
      <c r="A110">
        <v>507</v>
      </c>
      <c r="B110" t="s">
        <v>43</v>
      </c>
      <c r="D110">
        <v>49.056282500000002</v>
      </c>
      <c r="E110">
        <v>328.22059039999999</v>
      </c>
      <c r="F110">
        <v>495.18278459999999</v>
      </c>
      <c r="G110">
        <v>142.67998470000001</v>
      </c>
      <c r="H110">
        <v>39.996198479999997</v>
      </c>
      <c r="J110" s="1">
        <v>45433</v>
      </c>
    </row>
    <row r="111" spans="1:10" x14ac:dyDescent="0.3">
      <c r="A111">
        <v>297</v>
      </c>
      <c r="B111" t="s">
        <v>10</v>
      </c>
      <c r="C111" t="s">
        <v>19</v>
      </c>
      <c r="D111">
        <v>38.99220717</v>
      </c>
      <c r="E111">
        <v>419.48907600000001</v>
      </c>
      <c r="F111">
        <v>493.35321219999997</v>
      </c>
      <c r="G111">
        <v>281.5785869</v>
      </c>
      <c r="H111">
        <v>37.907318619999998</v>
      </c>
      <c r="J111" s="1">
        <v>45223</v>
      </c>
    </row>
    <row r="112" spans="1:10" x14ac:dyDescent="0.3">
      <c r="A112">
        <v>881</v>
      </c>
      <c r="B112" t="s">
        <v>42</v>
      </c>
      <c r="C112" t="s">
        <v>11</v>
      </c>
      <c r="D112">
        <v>59.212476850000002</v>
      </c>
      <c r="F112">
        <v>446.62569239999999</v>
      </c>
      <c r="G112">
        <v>158.26398449999999</v>
      </c>
      <c r="H112">
        <v>26.753448120000002</v>
      </c>
      <c r="I112" t="s">
        <v>18</v>
      </c>
      <c r="J112" s="1">
        <v>45807</v>
      </c>
    </row>
    <row r="113" spans="1:10" x14ac:dyDescent="0.3">
      <c r="A113">
        <v>667</v>
      </c>
      <c r="B113" t="s">
        <v>43</v>
      </c>
      <c r="C113" t="s">
        <v>19</v>
      </c>
      <c r="D113">
        <v>63.97226423</v>
      </c>
      <c r="E113">
        <v>554.14075690000004</v>
      </c>
      <c r="F113">
        <v>397.53281629999998</v>
      </c>
      <c r="G113">
        <v>282.73771790000001</v>
      </c>
      <c r="H113">
        <v>30.472538270000001</v>
      </c>
      <c r="J113" s="1">
        <v>45593</v>
      </c>
    </row>
    <row r="114" spans="1:10" x14ac:dyDescent="0.3">
      <c r="A114">
        <v>101</v>
      </c>
      <c r="B114" t="s">
        <v>42</v>
      </c>
      <c r="C114" t="s">
        <v>19</v>
      </c>
      <c r="D114">
        <v>58.004982419999997</v>
      </c>
      <c r="E114">
        <v>595.50963790000003</v>
      </c>
      <c r="F114">
        <v>336.01683329999997</v>
      </c>
      <c r="G114">
        <v>211.76589809999999</v>
      </c>
      <c r="H114">
        <v>28.714034779999999</v>
      </c>
      <c r="J114" s="1">
        <v>45027</v>
      </c>
    </row>
    <row r="115" spans="1:10" x14ac:dyDescent="0.3">
      <c r="A115">
        <v>89</v>
      </c>
      <c r="B115" t="s">
        <v>43</v>
      </c>
      <c r="C115" t="s">
        <v>15</v>
      </c>
      <c r="D115">
        <v>60.91046102</v>
      </c>
      <c r="E115">
        <v>523.65817509999999</v>
      </c>
      <c r="F115">
        <v>292.63771969999999</v>
      </c>
      <c r="G115">
        <v>243.68142510000001</v>
      </c>
      <c r="H115">
        <v>20.869070749999999</v>
      </c>
      <c r="I115" t="s">
        <v>16</v>
      </c>
      <c r="J115" s="1">
        <v>45015</v>
      </c>
    </row>
    <row r="116" spans="1:10" x14ac:dyDescent="0.3">
      <c r="A116">
        <v>64</v>
      </c>
      <c r="B116" t="s">
        <v>14</v>
      </c>
      <c r="D116">
        <v>136.79017020000001</v>
      </c>
      <c r="E116">
        <v>423.65686599999998</v>
      </c>
      <c r="F116">
        <v>211.64051660000001</v>
      </c>
      <c r="G116">
        <v>166.29047199999999</v>
      </c>
      <c r="H116">
        <v>23.199726729999998</v>
      </c>
      <c r="I116" t="s">
        <v>44</v>
      </c>
      <c r="J116" s="1">
        <v>44990</v>
      </c>
    </row>
    <row r="117" spans="1:10" x14ac:dyDescent="0.3">
      <c r="A117">
        <v>844</v>
      </c>
      <c r="B117" t="s">
        <v>13</v>
      </c>
      <c r="D117">
        <v>56.111436550000001</v>
      </c>
      <c r="E117">
        <v>460.61981320000001</v>
      </c>
      <c r="F117">
        <v>212.00654170000001</v>
      </c>
      <c r="G117">
        <v>291.6742289</v>
      </c>
      <c r="H117">
        <v>25.72396809</v>
      </c>
      <c r="I117" t="s">
        <v>18</v>
      </c>
      <c r="J117" s="1">
        <v>45770</v>
      </c>
    </row>
    <row r="118" spans="1:10" x14ac:dyDescent="0.3">
      <c r="A118">
        <v>889</v>
      </c>
      <c r="B118" t="s">
        <v>42</v>
      </c>
      <c r="C118" t="s">
        <v>11</v>
      </c>
      <c r="D118">
        <v>41.118521039999997</v>
      </c>
      <c r="E118">
        <v>464.9981545</v>
      </c>
      <c r="F118">
        <v>421.51326999999998</v>
      </c>
      <c r="G118">
        <v>192.18184310000001</v>
      </c>
      <c r="H118">
        <v>33.363128799999998</v>
      </c>
      <c r="I118" t="s">
        <v>44</v>
      </c>
      <c r="J118" s="1">
        <v>45815</v>
      </c>
    </row>
    <row r="119" spans="1:10" x14ac:dyDescent="0.3">
      <c r="A119">
        <v>140</v>
      </c>
      <c r="B119" t="s">
        <v>10</v>
      </c>
      <c r="C119" t="s">
        <v>41</v>
      </c>
      <c r="D119">
        <v>62.987385039999999</v>
      </c>
      <c r="E119">
        <v>548.25240489999999</v>
      </c>
      <c r="F119">
        <v>439.6345604</v>
      </c>
      <c r="G119">
        <v>238.01609379999999</v>
      </c>
      <c r="H119">
        <v>33.256375220000002</v>
      </c>
      <c r="J119" s="1">
        <v>45066</v>
      </c>
    </row>
    <row r="120" spans="1:10" x14ac:dyDescent="0.3">
      <c r="A120">
        <v>758</v>
      </c>
      <c r="B120" t="s">
        <v>12</v>
      </c>
      <c r="C120" t="s">
        <v>19</v>
      </c>
      <c r="D120">
        <v>51.355445920000001</v>
      </c>
      <c r="E120">
        <v>434.69083389999997</v>
      </c>
      <c r="F120">
        <v>412.58610060000001</v>
      </c>
      <c r="G120">
        <v>238.46228199999999</v>
      </c>
      <c r="H120">
        <v>28.425623340000001</v>
      </c>
      <c r="I120" t="s">
        <v>16</v>
      </c>
      <c r="J120" s="1">
        <v>45684</v>
      </c>
    </row>
    <row r="121" spans="1:10" x14ac:dyDescent="0.3">
      <c r="A121">
        <v>616</v>
      </c>
      <c r="B121" t="s">
        <v>13</v>
      </c>
      <c r="C121" t="s">
        <v>15</v>
      </c>
      <c r="D121">
        <v>51.21505011</v>
      </c>
      <c r="E121">
        <v>513.2020923</v>
      </c>
      <c r="F121">
        <v>579.19698419999997</v>
      </c>
      <c r="G121">
        <v>157.53352570000001</v>
      </c>
      <c r="H121">
        <v>14.39727989</v>
      </c>
      <c r="I121" t="s">
        <v>44</v>
      </c>
      <c r="J121" s="1">
        <v>45542</v>
      </c>
    </row>
    <row r="122" spans="1:10" x14ac:dyDescent="0.3">
      <c r="A122">
        <v>500</v>
      </c>
      <c r="B122" t="s">
        <v>42</v>
      </c>
      <c r="C122" t="s">
        <v>11</v>
      </c>
      <c r="D122">
        <v>48.599571480000002</v>
      </c>
      <c r="E122">
        <v>568.13395030000004</v>
      </c>
      <c r="F122">
        <v>180.1807695</v>
      </c>
      <c r="G122">
        <v>226.01898629999999</v>
      </c>
      <c r="H122">
        <v>25.22972773</v>
      </c>
      <c r="J122" s="1">
        <v>45426</v>
      </c>
    </row>
    <row r="123" spans="1:10" x14ac:dyDescent="0.3">
      <c r="A123">
        <v>666</v>
      </c>
      <c r="B123" t="s">
        <v>12</v>
      </c>
      <c r="C123" t="s">
        <v>11</v>
      </c>
      <c r="D123">
        <v>50.737701080000001</v>
      </c>
      <c r="E123">
        <v>521.79974110000001</v>
      </c>
      <c r="F123">
        <v>304.68900739999998</v>
      </c>
      <c r="G123">
        <v>200.43817419999999</v>
      </c>
      <c r="H123">
        <v>30.756091720000001</v>
      </c>
      <c r="I123" t="s">
        <v>40</v>
      </c>
      <c r="J123" s="1">
        <v>45592</v>
      </c>
    </row>
    <row r="124" spans="1:10" x14ac:dyDescent="0.3">
      <c r="A124">
        <v>585</v>
      </c>
      <c r="C124" t="s">
        <v>19</v>
      </c>
      <c r="D124">
        <v>61.4740933</v>
      </c>
      <c r="E124">
        <v>290.78927700000003</v>
      </c>
      <c r="F124">
        <v>558.83365349999997</v>
      </c>
      <c r="G124">
        <v>253.45721320000001</v>
      </c>
      <c r="H124">
        <v>28.901774920000001</v>
      </c>
      <c r="I124" t="s">
        <v>16</v>
      </c>
      <c r="J124" s="1">
        <v>45511</v>
      </c>
    </row>
    <row r="125" spans="1:10" x14ac:dyDescent="0.3">
      <c r="A125">
        <v>110</v>
      </c>
      <c r="B125" t="s">
        <v>43</v>
      </c>
      <c r="C125" t="s">
        <v>17</v>
      </c>
      <c r="D125">
        <v>47.08510021</v>
      </c>
      <c r="E125">
        <v>433.62796229999998</v>
      </c>
      <c r="F125">
        <v>651.53493619999995</v>
      </c>
      <c r="G125">
        <v>242.01595639999999</v>
      </c>
      <c r="H125">
        <v>27.39780507</v>
      </c>
      <c r="I125" t="s">
        <v>18</v>
      </c>
      <c r="J125" s="1">
        <v>45036</v>
      </c>
    </row>
    <row r="126" spans="1:10" x14ac:dyDescent="0.3">
      <c r="A126">
        <v>917</v>
      </c>
      <c r="B126" t="s">
        <v>43</v>
      </c>
      <c r="D126">
        <v>40.561492950000002</v>
      </c>
      <c r="E126">
        <v>659.10193059999995</v>
      </c>
      <c r="F126">
        <v>639.11639649999995</v>
      </c>
      <c r="G126">
        <v>329.71550919999999</v>
      </c>
      <c r="H126">
        <v>29.20674408</v>
      </c>
      <c r="I126" t="s">
        <v>16</v>
      </c>
      <c r="J126" s="1">
        <v>45843</v>
      </c>
    </row>
    <row r="127" spans="1:10" x14ac:dyDescent="0.3">
      <c r="A127">
        <v>651</v>
      </c>
      <c r="B127" t="s">
        <v>14</v>
      </c>
      <c r="C127" t="s">
        <v>19</v>
      </c>
      <c r="D127">
        <v>60.175012289999998</v>
      </c>
      <c r="E127">
        <v>526.85339859999999</v>
      </c>
      <c r="F127">
        <v>383.19043440000002</v>
      </c>
      <c r="G127">
        <v>141.80711410000001</v>
      </c>
      <c r="H127">
        <v>35.801740899999999</v>
      </c>
      <c r="I127" t="s">
        <v>40</v>
      </c>
      <c r="J127" s="1">
        <v>45577</v>
      </c>
    </row>
    <row r="128" spans="1:10" x14ac:dyDescent="0.3">
      <c r="A128">
        <v>534</v>
      </c>
      <c r="B128" t="s">
        <v>12</v>
      </c>
      <c r="D128">
        <v>64.465039360000006</v>
      </c>
      <c r="E128">
        <v>396.11402099999998</v>
      </c>
      <c r="F128">
        <v>412.06456939999998</v>
      </c>
      <c r="G128">
        <v>155.8517301</v>
      </c>
      <c r="H128">
        <v>19.345810010000001</v>
      </c>
      <c r="I128" t="s">
        <v>44</v>
      </c>
      <c r="J128" s="1">
        <v>45460</v>
      </c>
    </row>
    <row r="129" spans="1:10" x14ac:dyDescent="0.3">
      <c r="A129">
        <v>446</v>
      </c>
      <c r="C129" t="s">
        <v>15</v>
      </c>
      <c r="D129">
        <v>50.626853969999999</v>
      </c>
      <c r="E129">
        <v>539.59356760000003</v>
      </c>
      <c r="F129">
        <v>532.02066000000002</v>
      </c>
      <c r="G129">
        <v>292.4175315</v>
      </c>
      <c r="H129">
        <v>29.24423857</v>
      </c>
      <c r="I129" t="s">
        <v>16</v>
      </c>
      <c r="J129" s="1">
        <v>45372</v>
      </c>
    </row>
    <row r="130" spans="1:10" x14ac:dyDescent="0.3">
      <c r="A130">
        <v>606</v>
      </c>
      <c r="B130" t="s">
        <v>43</v>
      </c>
      <c r="C130" t="s">
        <v>17</v>
      </c>
      <c r="D130">
        <v>46.21545948</v>
      </c>
      <c r="E130">
        <v>517.67547930000001</v>
      </c>
      <c r="F130">
        <v>178.69979979999999</v>
      </c>
      <c r="G130">
        <v>221.7148038</v>
      </c>
      <c r="H130">
        <v>33.244718030000001</v>
      </c>
      <c r="I130" t="s">
        <v>16</v>
      </c>
      <c r="J130" s="1">
        <v>45532</v>
      </c>
    </row>
    <row r="131" spans="1:10" x14ac:dyDescent="0.3">
      <c r="A131">
        <v>137</v>
      </c>
      <c r="C131" t="s">
        <v>19</v>
      </c>
      <c r="D131">
        <v>62.145092849999997</v>
      </c>
      <c r="E131">
        <v>623.51218219999998</v>
      </c>
      <c r="F131">
        <v>641.60036690000004</v>
      </c>
      <c r="G131">
        <v>203.98782629999999</v>
      </c>
      <c r="H131">
        <v>26.137925039999999</v>
      </c>
      <c r="I131" t="s">
        <v>18</v>
      </c>
      <c r="J131" s="1">
        <v>45063</v>
      </c>
    </row>
    <row r="132" spans="1:10" x14ac:dyDescent="0.3">
      <c r="A132">
        <v>812</v>
      </c>
      <c r="B132" t="s">
        <v>14</v>
      </c>
      <c r="D132">
        <v>52.144508340000002</v>
      </c>
      <c r="E132">
        <v>482.23060229999999</v>
      </c>
      <c r="F132">
        <v>385.21830729999999</v>
      </c>
      <c r="G132">
        <v>157.95093009999999</v>
      </c>
      <c r="H132">
        <v>29.867581860000001</v>
      </c>
      <c r="I132" t="s">
        <v>44</v>
      </c>
      <c r="J132" s="1">
        <v>45738</v>
      </c>
    </row>
    <row r="133" spans="1:10" x14ac:dyDescent="0.3">
      <c r="A133">
        <v>515</v>
      </c>
      <c r="B133" t="s">
        <v>43</v>
      </c>
      <c r="C133" t="s">
        <v>11</v>
      </c>
      <c r="D133">
        <v>73.00410085</v>
      </c>
      <c r="E133">
        <v>583.07098499999995</v>
      </c>
      <c r="F133">
        <v>421.44080209999998</v>
      </c>
      <c r="G133">
        <v>244.930892</v>
      </c>
      <c r="H133">
        <v>29.228132330000001</v>
      </c>
      <c r="J133" s="1">
        <v>45441</v>
      </c>
    </row>
    <row r="134" spans="1:10" x14ac:dyDescent="0.3">
      <c r="A134">
        <v>754</v>
      </c>
      <c r="B134" t="s">
        <v>14</v>
      </c>
      <c r="C134" t="s">
        <v>19</v>
      </c>
      <c r="D134">
        <v>62.438529330000001</v>
      </c>
      <c r="E134">
        <v>554.93156450000004</v>
      </c>
      <c r="F134">
        <v>605.74213580000003</v>
      </c>
      <c r="G134">
        <v>227.3827886</v>
      </c>
      <c r="H134">
        <v>30.69996871</v>
      </c>
      <c r="I134" t="s">
        <v>18</v>
      </c>
      <c r="J134" s="1">
        <v>45680</v>
      </c>
    </row>
    <row r="135" spans="1:10" x14ac:dyDescent="0.3">
      <c r="A135">
        <v>159</v>
      </c>
      <c r="B135" t="s">
        <v>42</v>
      </c>
      <c r="C135" t="s">
        <v>17</v>
      </c>
      <c r="D135" t="s">
        <v>45</v>
      </c>
      <c r="E135">
        <v>325.6151883</v>
      </c>
      <c r="F135">
        <v>408.7316194</v>
      </c>
      <c r="G135">
        <v>252.7429535</v>
      </c>
      <c r="H135">
        <v>27.501397499999999</v>
      </c>
      <c r="J135" s="1">
        <v>45085</v>
      </c>
    </row>
    <row r="136" spans="1:10" x14ac:dyDescent="0.3">
      <c r="A136">
        <v>311</v>
      </c>
      <c r="C136" t="s">
        <v>15</v>
      </c>
      <c r="D136">
        <v>56.94997901</v>
      </c>
      <c r="E136">
        <v>501.11415629999999</v>
      </c>
      <c r="F136">
        <v>388.77726610000002</v>
      </c>
      <c r="G136">
        <v>246.9789706</v>
      </c>
      <c r="H136">
        <v>22.364794700000001</v>
      </c>
      <c r="I136" t="s">
        <v>16</v>
      </c>
      <c r="J136" s="1">
        <v>45237</v>
      </c>
    </row>
    <row r="137" spans="1:10" x14ac:dyDescent="0.3">
      <c r="A137">
        <v>328</v>
      </c>
      <c r="B137" t="s">
        <v>10</v>
      </c>
      <c r="C137" t="s">
        <v>15</v>
      </c>
      <c r="D137">
        <v>57.800781800000003</v>
      </c>
      <c r="E137">
        <v>397.68044889999999</v>
      </c>
      <c r="F137">
        <v>408.58758740000002</v>
      </c>
      <c r="G137">
        <v>169.50318530000001</v>
      </c>
      <c r="H137">
        <v>33.670001919999997</v>
      </c>
      <c r="I137" t="s">
        <v>40</v>
      </c>
      <c r="J137" s="1">
        <v>45254</v>
      </c>
    </row>
    <row r="138" spans="1:10" x14ac:dyDescent="0.3">
      <c r="A138">
        <v>50</v>
      </c>
      <c r="B138" t="s">
        <v>13</v>
      </c>
      <c r="C138" t="s">
        <v>19</v>
      </c>
      <c r="D138">
        <v>50.376602329999997</v>
      </c>
      <c r="E138">
        <v>445.15603279999999</v>
      </c>
      <c r="F138">
        <v>440.56806740000002</v>
      </c>
      <c r="G138">
        <v>186.48616190000001</v>
      </c>
      <c r="H138">
        <v>28.323963729999999</v>
      </c>
      <c r="I138" t="s">
        <v>40</v>
      </c>
      <c r="J138" s="1">
        <v>44976</v>
      </c>
    </row>
    <row r="139" spans="1:10" x14ac:dyDescent="0.3">
      <c r="A139">
        <v>936</v>
      </c>
      <c r="B139" t="s">
        <v>43</v>
      </c>
      <c r="C139" t="s">
        <v>19</v>
      </c>
      <c r="D139">
        <v>48.386557879999998</v>
      </c>
      <c r="E139">
        <v>478.1345589</v>
      </c>
      <c r="F139">
        <v>527.76336360000005</v>
      </c>
      <c r="G139">
        <v>168.68542890000001</v>
      </c>
      <c r="H139">
        <v>27.588292119999998</v>
      </c>
      <c r="I139" t="s">
        <v>16</v>
      </c>
      <c r="J139" s="1">
        <v>45862</v>
      </c>
    </row>
    <row r="140" spans="1:10" x14ac:dyDescent="0.3">
      <c r="A140">
        <v>255</v>
      </c>
      <c r="B140" t="s">
        <v>43</v>
      </c>
      <c r="D140">
        <v>62.061533959999998</v>
      </c>
      <c r="E140">
        <v>523.21559500000001</v>
      </c>
      <c r="F140">
        <v>273.54652679999998</v>
      </c>
      <c r="G140">
        <v>192.01574059999999</v>
      </c>
      <c r="H140">
        <v>32.178322829999999</v>
      </c>
      <c r="I140" t="s">
        <v>16</v>
      </c>
      <c r="J140" s="1">
        <v>45181</v>
      </c>
    </row>
    <row r="141" spans="1:10" x14ac:dyDescent="0.3">
      <c r="A141">
        <v>276</v>
      </c>
      <c r="B141" t="s">
        <v>10</v>
      </c>
      <c r="C141" t="s">
        <v>19</v>
      </c>
      <c r="D141">
        <v>42.650895859999999</v>
      </c>
      <c r="E141">
        <v>339.67395329999999</v>
      </c>
      <c r="F141">
        <v>447.27665009999998</v>
      </c>
      <c r="G141">
        <v>169.5007689</v>
      </c>
      <c r="H141">
        <v>18.352791740000001</v>
      </c>
      <c r="I141" t="s">
        <v>18</v>
      </c>
      <c r="J141" s="1">
        <v>45202</v>
      </c>
    </row>
    <row r="142" spans="1:10" x14ac:dyDescent="0.3">
      <c r="A142">
        <v>902</v>
      </c>
      <c r="B142" t="s">
        <v>43</v>
      </c>
      <c r="C142" t="s">
        <v>41</v>
      </c>
      <c r="D142">
        <v>56.365963260000001</v>
      </c>
      <c r="E142">
        <v>553.89191849999997</v>
      </c>
      <c r="F142">
        <v>448.31546859999997</v>
      </c>
      <c r="G142">
        <v>202.84632099999999</v>
      </c>
      <c r="H142">
        <v>32.077375760000002</v>
      </c>
      <c r="I142" t="s">
        <v>16</v>
      </c>
      <c r="J142" s="1">
        <v>45828</v>
      </c>
    </row>
    <row r="143" spans="1:10" x14ac:dyDescent="0.3">
      <c r="A143">
        <v>185</v>
      </c>
      <c r="C143" t="s">
        <v>19</v>
      </c>
      <c r="D143">
        <v>53.40600019</v>
      </c>
      <c r="E143">
        <v>567.02198969999995</v>
      </c>
      <c r="F143">
        <v>556.27939160000005</v>
      </c>
      <c r="G143">
        <v>207.70240390000001</v>
      </c>
      <c r="H143">
        <v>33.745069780000001</v>
      </c>
      <c r="I143" t="s">
        <v>40</v>
      </c>
      <c r="J143" s="1">
        <v>45111</v>
      </c>
    </row>
    <row r="144" spans="1:10" x14ac:dyDescent="0.3">
      <c r="A144">
        <v>583</v>
      </c>
      <c r="B144" t="s">
        <v>12</v>
      </c>
      <c r="D144">
        <v>46.503878129999997</v>
      </c>
      <c r="E144">
        <v>511.25507149999999</v>
      </c>
      <c r="F144">
        <v>553.78096770000002</v>
      </c>
      <c r="G144">
        <v>113.8828322</v>
      </c>
      <c r="H144">
        <v>28.083925820000001</v>
      </c>
      <c r="I144" t="s">
        <v>44</v>
      </c>
      <c r="J144" s="1">
        <v>45509</v>
      </c>
    </row>
    <row r="145" spans="1:10" x14ac:dyDescent="0.3">
      <c r="A145">
        <v>661</v>
      </c>
      <c r="B145" t="s">
        <v>14</v>
      </c>
      <c r="C145" t="s">
        <v>19</v>
      </c>
      <c r="D145">
        <v>227.58098899999999</v>
      </c>
      <c r="E145">
        <v>1711.7441309999999</v>
      </c>
      <c r="F145">
        <v>525.8359749</v>
      </c>
      <c r="G145">
        <v>171.8158669</v>
      </c>
      <c r="H145">
        <v>30.383814749999999</v>
      </c>
      <c r="I145" t="s">
        <v>18</v>
      </c>
      <c r="J145" s="1">
        <v>45587</v>
      </c>
    </row>
    <row r="146" spans="1:10" x14ac:dyDescent="0.3">
      <c r="A146">
        <v>897</v>
      </c>
      <c r="B146" t="s">
        <v>14</v>
      </c>
      <c r="C146" t="s">
        <v>11</v>
      </c>
      <c r="D146">
        <v>61.761751050000001</v>
      </c>
      <c r="E146">
        <v>551.99990760000003</v>
      </c>
      <c r="F146">
        <v>497.13712709999999</v>
      </c>
      <c r="G146">
        <v>316.9005702</v>
      </c>
      <c r="H146">
        <v>21.90028934</v>
      </c>
      <c r="I146" t="s">
        <v>44</v>
      </c>
      <c r="J146" s="1">
        <v>45823</v>
      </c>
    </row>
    <row r="147" spans="1:10" x14ac:dyDescent="0.3">
      <c r="A147">
        <v>210</v>
      </c>
      <c r="B147" t="s">
        <v>42</v>
      </c>
      <c r="C147" t="s">
        <v>19</v>
      </c>
      <c r="D147">
        <v>65.339781209999998</v>
      </c>
      <c r="E147">
        <v>657.8106808</v>
      </c>
      <c r="F147">
        <v>343.46314080000002</v>
      </c>
      <c r="G147">
        <v>169.8054942</v>
      </c>
      <c r="H147">
        <v>35.290111940000003</v>
      </c>
      <c r="I147" t="s">
        <v>16</v>
      </c>
      <c r="J147" s="1">
        <v>45136</v>
      </c>
    </row>
    <row r="148" spans="1:10" x14ac:dyDescent="0.3">
      <c r="A148">
        <v>169</v>
      </c>
      <c r="B148" t="s">
        <v>14</v>
      </c>
      <c r="C148" t="s">
        <v>15</v>
      </c>
      <c r="D148">
        <v>49.691123640000001</v>
      </c>
      <c r="E148">
        <v>553.80617199999995</v>
      </c>
      <c r="F148">
        <v>491.61938129999999</v>
      </c>
      <c r="G148">
        <v>192.73743529999999</v>
      </c>
      <c r="H148">
        <v>33.530642749999998</v>
      </c>
      <c r="I148" t="s">
        <v>16</v>
      </c>
      <c r="J148" s="1">
        <v>45095</v>
      </c>
    </row>
    <row r="149" spans="1:10" x14ac:dyDescent="0.3">
      <c r="A149">
        <v>867</v>
      </c>
      <c r="B149" t="s">
        <v>42</v>
      </c>
      <c r="C149" t="s">
        <v>41</v>
      </c>
      <c r="D149">
        <v>205.68898279999999</v>
      </c>
      <c r="E149">
        <v>1803.3755369999999</v>
      </c>
      <c r="F149">
        <v>623.66237820000003</v>
      </c>
      <c r="G149">
        <v>198.55986530000001</v>
      </c>
      <c r="H149">
        <v>31.460986470000002</v>
      </c>
      <c r="I149" t="s">
        <v>18</v>
      </c>
      <c r="J149" s="1">
        <v>45793</v>
      </c>
    </row>
    <row r="150" spans="1:10" x14ac:dyDescent="0.3">
      <c r="A150">
        <v>281</v>
      </c>
      <c r="C150" t="s">
        <v>41</v>
      </c>
      <c r="D150">
        <v>34.630520400000002</v>
      </c>
      <c r="E150">
        <v>619.1958856</v>
      </c>
      <c r="F150">
        <v>506.293272</v>
      </c>
      <c r="G150">
        <v>195.75901630000001</v>
      </c>
      <c r="H150">
        <v>36.603750640000001</v>
      </c>
      <c r="I150" t="s">
        <v>16</v>
      </c>
      <c r="J150" s="1">
        <v>45207</v>
      </c>
    </row>
    <row r="151" spans="1:10" x14ac:dyDescent="0.3">
      <c r="A151">
        <v>134</v>
      </c>
      <c r="B151" t="s">
        <v>13</v>
      </c>
      <c r="D151">
        <v>55.20664421</v>
      </c>
      <c r="E151">
        <v>479.05474340000001</v>
      </c>
      <c r="F151">
        <v>396.94173460000002</v>
      </c>
      <c r="G151">
        <v>174.7491575</v>
      </c>
      <c r="H151">
        <v>29.727704299999999</v>
      </c>
      <c r="I151" t="s">
        <v>16</v>
      </c>
      <c r="J151" s="1">
        <v>45060</v>
      </c>
    </row>
    <row r="152" spans="1:10" x14ac:dyDescent="0.3">
      <c r="A152">
        <v>542</v>
      </c>
      <c r="B152" t="s">
        <v>10</v>
      </c>
      <c r="C152" t="s">
        <v>11</v>
      </c>
      <c r="D152">
        <v>41.796561750000002</v>
      </c>
      <c r="E152">
        <v>334.02444150000002</v>
      </c>
      <c r="F152">
        <v>438.20478559999998</v>
      </c>
      <c r="G152">
        <v>147.81927949999999</v>
      </c>
      <c r="H152">
        <v>34.836364879999998</v>
      </c>
      <c r="I152" t="s">
        <v>40</v>
      </c>
      <c r="J152" s="1">
        <v>45468</v>
      </c>
    </row>
    <row r="153" spans="1:10" x14ac:dyDescent="0.3">
      <c r="A153">
        <v>56</v>
      </c>
      <c r="D153">
        <v>39.373672229999997</v>
      </c>
      <c r="E153">
        <v>478.05561879999999</v>
      </c>
      <c r="F153">
        <v>377.83554600000002</v>
      </c>
      <c r="G153">
        <v>120.21816200000001</v>
      </c>
      <c r="H153">
        <v>17.977252369999999</v>
      </c>
      <c r="I153" t="s">
        <v>18</v>
      </c>
      <c r="J153" s="1">
        <v>44982</v>
      </c>
    </row>
    <row r="154" spans="1:10" x14ac:dyDescent="0.3">
      <c r="A154">
        <v>121</v>
      </c>
      <c r="B154" t="s">
        <v>14</v>
      </c>
      <c r="C154" t="s">
        <v>19</v>
      </c>
      <c r="D154">
        <v>58.072931250000003</v>
      </c>
      <c r="E154">
        <v>519.15069389999996</v>
      </c>
      <c r="F154">
        <v>452.14448179999999</v>
      </c>
      <c r="G154">
        <v>228.1567728</v>
      </c>
      <c r="H154">
        <v>30.647309679999999</v>
      </c>
      <c r="J154" s="1">
        <v>45047</v>
      </c>
    </row>
    <row r="155" spans="1:10" x14ac:dyDescent="0.3">
      <c r="A155">
        <v>555</v>
      </c>
      <c r="B155" t="s">
        <v>14</v>
      </c>
      <c r="C155" t="s">
        <v>19</v>
      </c>
      <c r="D155">
        <v>72.142515230000001</v>
      </c>
      <c r="E155">
        <v>359.93260090000001</v>
      </c>
      <c r="F155">
        <v>499.16612739999999</v>
      </c>
      <c r="G155">
        <v>153.60393500000001</v>
      </c>
      <c r="H155">
        <v>33.676705769999998</v>
      </c>
      <c r="I155" t="s">
        <v>16</v>
      </c>
      <c r="J155" s="1">
        <v>45481</v>
      </c>
    </row>
    <row r="156" spans="1:10" x14ac:dyDescent="0.3">
      <c r="A156">
        <v>26</v>
      </c>
      <c r="B156" t="s">
        <v>14</v>
      </c>
      <c r="D156">
        <v>49.857109690000001</v>
      </c>
      <c r="E156">
        <v>610.11557619999996</v>
      </c>
      <c r="F156">
        <v>370.55350770000001</v>
      </c>
      <c r="H156">
        <v>34.155599989999999</v>
      </c>
      <c r="I156" t="s">
        <v>18</v>
      </c>
      <c r="J156" s="1">
        <v>44952</v>
      </c>
    </row>
    <row r="157" spans="1:10" x14ac:dyDescent="0.3">
      <c r="A157">
        <v>73</v>
      </c>
      <c r="B157" t="s">
        <v>10</v>
      </c>
      <c r="C157" t="s">
        <v>15</v>
      </c>
      <c r="D157">
        <v>54.01343627</v>
      </c>
      <c r="E157">
        <v>507.88960969999999</v>
      </c>
      <c r="F157">
        <v>499.26928199999998</v>
      </c>
      <c r="G157">
        <v>138.23597530000001</v>
      </c>
      <c r="H157">
        <v>30.2855892</v>
      </c>
      <c r="I157" t="s">
        <v>18</v>
      </c>
      <c r="J157" s="1">
        <v>44999</v>
      </c>
    </row>
    <row r="158" spans="1:10" x14ac:dyDescent="0.3">
      <c r="A158">
        <v>539</v>
      </c>
      <c r="C158" t="s">
        <v>11</v>
      </c>
      <c r="D158">
        <v>35.501434349999997</v>
      </c>
      <c r="E158">
        <v>399.21861009999998</v>
      </c>
      <c r="F158">
        <v>372.30101239999999</v>
      </c>
      <c r="G158">
        <v>211.4573417</v>
      </c>
      <c r="H158">
        <v>32.643873390000003</v>
      </c>
      <c r="I158" t="s">
        <v>40</v>
      </c>
      <c r="J158" s="1">
        <v>45465</v>
      </c>
    </row>
    <row r="159" spans="1:10" x14ac:dyDescent="0.3">
      <c r="A159">
        <v>45</v>
      </c>
      <c r="B159" t="s">
        <v>13</v>
      </c>
      <c r="D159">
        <v>74.020262819999999</v>
      </c>
      <c r="E159">
        <v>417.97586710000002</v>
      </c>
      <c r="F159">
        <v>256.13458789999999</v>
      </c>
      <c r="G159">
        <v>198.5129173</v>
      </c>
      <c r="H159">
        <v>30.724539849999999</v>
      </c>
      <c r="I159" t="s">
        <v>44</v>
      </c>
      <c r="J159" s="1">
        <v>44971</v>
      </c>
    </row>
    <row r="160" spans="1:10" x14ac:dyDescent="0.3">
      <c r="A160">
        <v>498</v>
      </c>
      <c r="B160" t="s">
        <v>10</v>
      </c>
      <c r="C160" t="s">
        <v>17</v>
      </c>
      <c r="D160">
        <v>41.86354644</v>
      </c>
      <c r="E160">
        <v>520.67747799999995</v>
      </c>
      <c r="F160">
        <v>463.69743399999999</v>
      </c>
      <c r="G160">
        <v>269.92955019999999</v>
      </c>
      <c r="H160">
        <v>27.372707930000001</v>
      </c>
      <c r="I160" t="s">
        <v>44</v>
      </c>
      <c r="J160" s="1">
        <v>45424</v>
      </c>
    </row>
    <row r="161" spans="1:10" x14ac:dyDescent="0.3">
      <c r="A161">
        <v>199</v>
      </c>
      <c r="B161" t="s">
        <v>12</v>
      </c>
      <c r="C161" t="s">
        <v>11</v>
      </c>
      <c r="D161">
        <v>37.219774170000001</v>
      </c>
      <c r="E161">
        <v>479.42724090000002</v>
      </c>
      <c r="F161">
        <v>553.01304830000004</v>
      </c>
      <c r="G161">
        <v>90.065359389999998</v>
      </c>
      <c r="H161">
        <v>32.602509419999997</v>
      </c>
      <c r="I161" t="s">
        <v>44</v>
      </c>
      <c r="J161" s="1">
        <v>45125</v>
      </c>
    </row>
    <row r="162" spans="1:10" x14ac:dyDescent="0.3">
      <c r="A162">
        <v>378</v>
      </c>
      <c r="B162" t="s">
        <v>14</v>
      </c>
      <c r="C162" t="s">
        <v>15</v>
      </c>
      <c r="D162">
        <v>43.534704789999999</v>
      </c>
      <c r="E162">
        <v>446.5266752</v>
      </c>
      <c r="F162">
        <v>739.68088490000002</v>
      </c>
      <c r="G162">
        <v>109.8055437</v>
      </c>
      <c r="H162">
        <v>25.173618300000001</v>
      </c>
      <c r="I162" t="s">
        <v>44</v>
      </c>
      <c r="J162" s="1">
        <v>45304</v>
      </c>
    </row>
    <row r="163" spans="1:10" x14ac:dyDescent="0.3">
      <c r="A163">
        <v>315</v>
      </c>
      <c r="B163" t="s">
        <v>10</v>
      </c>
      <c r="C163" t="s">
        <v>17</v>
      </c>
      <c r="D163">
        <v>50.964337190000002</v>
      </c>
      <c r="E163">
        <v>452.14327580000003</v>
      </c>
      <c r="F163">
        <v>434.6934412</v>
      </c>
      <c r="H163">
        <v>33.059963160000002</v>
      </c>
      <c r="I163" t="s">
        <v>44</v>
      </c>
      <c r="J163" s="1">
        <v>45241</v>
      </c>
    </row>
    <row r="164" spans="1:10" x14ac:dyDescent="0.3">
      <c r="A164">
        <v>719</v>
      </c>
      <c r="B164" t="s">
        <v>13</v>
      </c>
      <c r="C164" t="s">
        <v>15</v>
      </c>
      <c r="D164">
        <v>55.212952909999998</v>
      </c>
      <c r="E164">
        <v>453.08509700000002</v>
      </c>
      <c r="F164">
        <v>318.64211669999997</v>
      </c>
      <c r="G164">
        <v>153.8196519</v>
      </c>
      <c r="H164">
        <v>22.06483119</v>
      </c>
      <c r="I164" t="s">
        <v>44</v>
      </c>
      <c r="J164" s="1">
        <v>45645</v>
      </c>
    </row>
    <row r="165" spans="1:10" x14ac:dyDescent="0.3">
      <c r="A165">
        <v>209</v>
      </c>
      <c r="B165" t="s">
        <v>10</v>
      </c>
      <c r="C165" t="s">
        <v>19</v>
      </c>
      <c r="D165">
        <v>60.896648650000003</v>
      </c>
      <c r="E165">
        <v>370.18731150000002</v>
      </c>
      <c r="F165">
        <v>543.02284680000002</v>
      </c>
      <c r="G165">
        <v>152.43653029999999</v>
      </c>
      <c r="H165">
        <v>27.875504549999999</v>
      </c>
      <c r="J165" s="1">
        <v>45135</v>
      </c>
    </row>
    <row r="166" spans="1:10" x14ac:dyDescent="0.3">
      <c r="A166">
        <v>722</v>
      </c>
      <c r="B166" t="s">
        <v>43</v>
      </c>
      <c r="C166" t="s">
        <v>11</v>
      </c>
      <c r="D166">
        <v>49.549731770000001</v>
      </c>
      <c r="E166">
        <v>512.53653159999999</v>
      </c>
      <c r="F166">
        <v>696.78416059999995</v>
      </c>
      <c r="G166">
        <v>236.58005510000001</v>
      </c>
      <c r="H166">
        <v>27.763133750000001</v>
      </c>
      <c r="I166" t="s">
        <v>44</v>
      </c>
      <c r="J166" s="1">
        <v>45648</v>
      </c>
    </row>
    <row r="167" spans="1:10" x14ac:dyDescent="0.3">
      <c r="A167">
        <v>919</v>
      </c>
      <c r="B167" t="s">
        <v>42</v>
      </c>
      <c r="C167" t="s">
        <v>19</v>
      </c>
      <c r="D167">
        <v>47.342304140000003</v>
      </c>
      <c r="E167">
        <v>495.5256819</v>
      </c>
      <c r="F167">
        <v>525.74931200000003</v>
      </c>
      <c r="G167">
        <v>177.34462049999999</v>
      </c>
      <c r="H167">
        <v>26.250758950000002</v>
      </c>
      <c r="I167" t="s">
        <v>44</v>
      </c>
      <c r="J167" s="1">
        <v>45845</v>
      </c>
    </row>
    <row r="168" spans="1:10" x14ac:dyDescent="0.3">
      <c r="A168">
        <v>536</v>
      </c>
      <c r="B168" t="s">
        <v>12</v>
      </c>
      <c r="D168">
        <v>38.897766130000001</v>
      </c>
      <c r="E168">
        <v>516.49101429999996</v>
      </c>
      <c r="F168">
        <v>604.82262779999996</v>
      </c>
      <c r="G168">
        <v>226.9640225</v>
      </c>
      <c r="H168">
        <v>35.180786310000002</v>
      </c>
      <c r="J168" s="1">
        <v>45462</v>
      </c>
    </row>
    <row r="169" spans="1:10" x14ac:dyDescent="0.3">
      <c r="A169">
        <v>696</v>
      </c>
      <c r="B169" t="s">
        <v>13</v>
      </c>
      <c r="C169" t="s">
        <v>11</v>
      </c>
      <c r="D169">
        <v>63.684219540000001</v>
      </c>
      <c r="E169">
        <v>610.50607300000001</v>
      </c>
      <c r="F169">
        <v>481.05937660000001</v>
      </c>
      <c r="G169">
        <v>131.28142980000001</v>
      </c>
      <c r="H169">
        <v>32.714366740000003</v>
      </c>
      <c r="I169" t="s">
        <v>44</v>
      </c>
      <c r="J169" s="1">
        <v>45622</v>
      </c>
    </row>
    <row r="170" spans="1:10" x14ac:dyDescent="0.3">
      <c r="A170">
        <v>605</v>
      </c>
      <c r="B170" t="s">
        <v>43</v>
      </c>
      <c r="C170" t="s">
        <v>11</v>
      </c>
      <c r="D170">
        <v>52.056863749999998</v>
      </c>
      <c r="E170">
        <v>486.79129940000001</v>
      </c>
      <c r="F170">
        <v>549.53027789999999</v>
      </c>
      <c r="G170">
        <v>187.78595300000001</v>
      </c>
      <c r="H170">
        <v>35.631230899999998</v>
      </c>
      <c r="I170" t="s">
        <v>16</v>
      </c>
      <c r="J170" s="1">
        <v>45531</v>
      </c>
    </row>
    <row r="171" spans="1:10" x14ac:dyDescent="0.3">
      <c r="A171">
        <v>591</v>
      </c>
      <c r="C171" t="s">
        <v>41</v>
      </c>
      <c r="D171">
        <v>35.891755019999998</v>
      </c>
      <c r="E171">
        <v>500.04454939999999</v>
      </c>
      <c r="F171">
        <v>697.14179019999995</v>
      </c>
      <c r="G171">
        <v>193.62685160000001</v>
      </c>
      <c r="H171">
        <v>27.11192891</v>
      </c>
      <c r="I171" t="s">
        <v>18</v>
      </c>
      <c r="J171" s="1">
        <v>45517</v>
      </c>
    </row>
    <row r="172" spans="1:10" x14ac:dyDescent="0.3">
      <c r="A172">
        <v>291</v>
      </c>
      <c r="B172" t="s">
        <v>14</v>
      </c>
      <c r="D172">
        <v>59.763839529999998</v>
      </c>
      <c r="E172">
        <v>521.39038679999999</v>
      </c>
      <c r="F172">
        <v>351.8838179</v>
      </c>
      <c r="G172">
        <v>54.776780170000002</v>
      </c>
      <c r="H172">
        <v>41.061953189999997</v>
      </c>
      <c r="J172" s="1">
        <v>45217</v>
      </c>
    </row>
    <row r="173" spans="1:10" x14ac:dyDescent="0.3">
      <c r="A173">
        <v>960</v>
      </c>
      <c r="B173" t="s">
        <v>10</v>
      </c>
      <c r="C173" t="s">
        <v>11</v>
      </c>
      <c r="D173">
        <v>59.039227510000003</v>
      </c>
      <c r="E173">
        <v>519.58452469999997</v>
      </c>
      <c r="F173">
        <v>368.3202938</v>
      </c>
      <c r="G173">
        <v>230.16865859999999</v>
      </c>
      <c r="H173">
        <v>38.863458299999998</v>
      </c>
      <c r="I173" t="s">
        <v>16</v>
      </c>
      <c r="J173" s="1">
        <v>45886</v>
      </c>
    </row>
    <row r="174" spans="1:10" x14ac:dyDescent="0.3">
      <c r="A174">
        <v>333</v>
      </c>
      <c r="B174" t="s">
        <v>42</v>
      </c>
      <c r="C174" t="s">
        <v>11</v>
      </c>
      <c r="D174">
        <v>44.725306760000002</v>
      </c>
      <c r="E174" t="s">
        <v>46</v>
      </c>
      <c r="F174">
        <v>608.2751442</v>
      </c>
      <c r="G174">
        <v>193.047484</v>
      </c>
      <c r="H174">
        <v>40.57207417</v>
      </c>
      <c r="I174" t="s">
        <v>44</v>
      </c>
      <c r="J174" s="1">
        <v>45259</v>
      </c>
    </row>
    <row r="175" spans="1:10" x14ac:dyDescent="0.3">
      <c r="A175">
        <v>211</v>
      </c>
      <c r="B175" t="s">
        <v>42</v>
      </c>
      <c r="C175" t="s">
        <v>19</v>
      </c>
      <c r="D175">
        <v>27.50904272</v>
      </c>
      <c r="E175">
        <v>382.9982349</v>
      </c>
      <c r="G175">
        <v>180.35289990000001</v>
      </c>
      <c r="H175">
        <v>30.958159810000001</v>
      </c>
      <c r="I175" t="s">
        <v>44</v>
      </c>
      <c r="J175" s="1">
        <v>45137</v>
      </c>
    </row>
    <row r="176" spans="1:10" x14ac:dyDescent="0.3">
      <c r="A176">
        <v>343</v>
      </c>
      <c r="B176" t="s">
        <v>13</v>
      </c>
      <c r="C176" t="s">
        <v>41</v>
      </c>
      <c r="D176">
        <v>41.519013010000002</v>
      </c>
      <c r="E176">
        <v>440.15740649999998</v>
      </c>
      <c r="F176">
        <v>369.96869459999999</v>
      </c>
      <c r="G176">
        <v>162.73382580000001</v>
      </c>
      <c r="H176">
        <v>31.384972600000001</v>
      </c>
      <c r="J176" s="1">
        <v>45269</v>
      </c>
    </row>
    <row r="177" spans="1:10" x14ac:dyDescent="0.3">
      <c r="A177">
        <v>61</v>
      </c>
      <c r="B177" t="s">
        <v>42</v>
      </c>
      <c r="C177" t="s">
        <v>11</v>
      </c>
      <c r="D177">
        <v>52.755105620000002</v>
      </c>
      <c r="E177">
        <v>483.86356269999999</v>
      </c>
      <c r="F177">
        <v>538.13359260000004</v>
      </c>
      <c r="G177">
        <v>278.76947369999999</v>
      </c>
      <c r="H177">
        <v>26.4654761</v>
      </c>
      <c r="I177" t="s">
        <v>18</v>
      </c>
      <c r="J177" s="1">
        <v>44987</v>
      </c>
    </row>
    <row r="178" spans="1:10" x14ac:dyDescent="0.3">
      <c r="A178">
        <v>345</v>
      </c>
      <c r="B178" t="s">
        <v>42</v>
      </c>
      <c r="C178" t="s">
        <v>19</v>
      </c>
      <c r="D178">
        <v>71.557431629999996</v>
      </c>
      <c r="E178">
        <v>680.2164808</v>
      </c>
      <c r="F178">
        <v>687.84591499999999</v>
      </c>
      <c r="G178">
        <v>282.48918429999998</v>
      </c>
      <c r="I178" t="s">
        <v>44</v>
      </c>
      <c r="J178" s="1">
        <v>45271</v>
      </c>
    </row>
    <row r="179" spans="1:10" x14ac:dyDescent="0.3">
      <c r="A179">
        <v>891</v>
      </c>
      <c r="B179" t="s">
        <v>13</v>
      </c>
      <c r="C179" t="s">
        <v>15</v>
      </c>
      <c r="D179">
        <v>65.213984980000006</v>
      </c>
      <c r="E179" t="s">
        <v>46</v>
      </c>
      <c r="F179">
        <v>649.22565659999998</v>
      </c>
      <c r="G179">
        <v>159.3819053</v>
      </c>
      <c r="H179">
        <v>21.409312549999999</v>
      </c>
      <c r="I179" t="s">
        <v>18</v>
      </c>
      <c r="J179" s="1">
        <v>45817</v>
      </c>
    </row>
    <row r="180" spans="1:10" x14ac:dyDescent="0.3">
      <c r="A180">
        <v>712</v>
      </c>
      <c r="C180" t="s">
        <v>17</v>
      </c>
      <c r="D180">
        <v>57.609047429999997</v>
      </c>
      <c r="F180">
        <v>435.91072960000002</v>
      </c>
      <c r="G180">
        <v>142.0793414</v>
      </c>
      <c r="H180">
        <v>34.365915700000002</v>
      </c>
      <c r="J180" s="1">
        <v>45638</v>
      </c>
    </row>
    <row r="181" spans="1:10" x14ac:dyDescent="0.3">
      <c r="A181">
        <v>468</v>
      </c>
      <c r="B181" t="s">
        <v>12</v>
      </c>
      <c r="C181" t="s">
        <v>41</v>
      </c>
      <c r="D181">
        <v>44.975375130000003</v>
      </c>
      <c r="E181">
        <v>337.64447619999999</v>
      </c>
      <c r="F181">
        <v>576.89336619999995</v>
      </c>
      <c r="G181">
        <v>213.22922679999999</v>
      </c>
      <c r="H181">
        <v>23.730975860000001</v>
      </c>
      <c r="I181" t="s">
        <v>18</v>
      </c>
      <c r="J181" s="1">
        <v>45394</v>
      </c>
    </row>
    <row r="182" spans="1:10" x14ac:dyDescent="0.3">
      <c r="A182">
        <v>424</v>
      </c>
      <c r="C182" t="s">
        <v>15</v>
      </c>
      <c r="D182">
        <v>49.599114870000001</v>
      </c>
      <c r="E182">
        <v>552.09681660000001</v>
      </c>
      <c r="F182">
        <v>398.27338070000002</v>
      </c>
      <c r="G182">
        <v>192.52842570000001</v>
      </c>
      <c r="H182">
        <v>28.36156729</v>
      </c>
      <c r="I182" t="s">
        <v>18</v>
      </c>
      <c r="J182" s="1">
        <v>45350</v>
      </c>
    </row>
    <row r="183" spans="1:10" x14ac:dyDescent="0.3">
      <c r="A183">
        <v>260</v>
      </c>
      <c r="B183" t="s">
        <v>12</v>
      </c>
      <c r="C183" t="s">
        <v>19</v>
      </c>
      <c r="D183">
        <v>37.036240810000002</v>
      </c>
      <c r="E183">
        <v>479.2522477</v>
      </c>
      <c r="F183">
        <v>355.52811109999999</v>
      </c>
      <c r="G183">
        <v>201.23817690000001</v>
      </c>
      <c r="H183">
        <v>29.222252659999999</v>
      </c>
      <c r="J183" s="1">
        <v>45186</v>
      </c>
    </row>
    <row r="184" spans="1:10" x14ac:dyDescent="0.3">
      <c r="A184">
        <v>781</v>
      </c>
      <c r="B184" t="s">
        <v>42</v>
      </c>
      <c r="C184" t="s">
        <v>41</v>
      </c>
      <c r="D184">
        <v>32.951214460000003</v>
      </c>
      <c r="E184">
        <v>401.97388239999998</v>
      </c>
      <c r="F184">
        <v>497.93033680000002</v>
      </c>
      <c r="G184">
        <v>201.10513750000001</v>
      </c>
      <c r="H184">
        <v>28.574845759999999</v>
      </c>
      <c r="I184" t="s">
        <v>16</v>
      </c>
      <c r="J184" s="1">
        <v>45707</v>
      </c>
    </row>
    <row r="185" spans="1:10" x14ac:dyDescent="0.3">
      <c r="A185">
        <v>406</v>
      </c>
      <c r="B185" t="s">
        <v>13</v>
      </c>
      <c r="D185">
        <v>38.289581460000001</v>
      </c>
      <c r="E185">
        <v>389.82068020000003</v>
      </c>
      <c r="F185">
        <v>595.19480090000002</v>
      </c>
      <c r="G185">
        <v>159.75202899999999</v>
      </c>
      <c r="H185">
        <v>27.565118500000001</v>
      </c>
      <c r="J185" s="1">
        <v>45332</v>
      </c>
    </row>
    <row r="186" spans="1:10" x14ac:dyDescent="0.3">
      <c r="A186">
        <v>789</v>
      </c>
      <c r="B186" t="s">
        <v>13</v>
      </c>
      <c r="C186" t="s">
        <v>11</v>
      </c>
      <c r="D186">
        <v>47.781390960000003</v>
      </c>
      <c r="E186">
        <v>326.09343689999997</v>
      </c>
      <c r="G186">
        <v>172.29631359999999</v>
      </c>
      <c r="I186" t="s">
        <v>44</v>
      </c>
      <c r="J186" s="1">
        <v>45715</v>
      </c>
    </row>
    <row r="187" spans="1:10" x14ac:dyDescent="0.3">
      <c r="A187">
        <v>768</v>
      </c>
      <c r="B187" t="s">
        <v>14</v>
      </c>
      <c r="C187" t="s">
        <v>15</v>
      </c>
      <c r="D187">
        <v>60.125460009999998</v>
      </c>
      <c r="E187">
        <v>586.76320840000005</v>
      </c>
      <c r="F187">
        <v>445.73955640000003</v>
      </c>
      <c r="G187">
        <v>305.61748549999999</v>
      </c>
      <c r="H187">
        <v>34.257881599999997</v>
      </c>
      <c r="J187" s="1">
        <v>45694</v>
      </c>
    </row>
    <row r="188" spans="1:10" x14ac:dyDescent="0.3">
      <c r="A188">
        <v>484</v>
      </c>
      <c r="C188" t="s">
        <v>11</v>
      </c>
      <c r="D188">
        <v>37.187023269999997</v>
      </c>
      <c r="E188">
        <v>629.03681219999999</v>
      </c>
      <c r="F188">
        <v>540.63918000000001</v>
      </c>
      <c r="G188">
        <v>184.04150430000001</v>
      </c>
      <c r="H188">
        <v>29.733787150000001</v>
      </c>
      <c r="J188" s="1">
        <v>45410</v>
      </c>
    </row>
    <row r="189" spans="1:10" x14ac:dyDescent="0.3">
      <c r="A189">
        <v>531</v>
      </c>
      <c r="B189" t="s">
        <v>10</v>
      </c>
      <c r="C189" t="s">
        <v>19</v>
      </c>
      <c r="D189">
        <v>263.03314169999999</v>
      </c>
      <c r="E189">
        <v>1720.304713</v>
      </c>
      <c r="F189">
        <v>370.08903270000002</v>
      </c>
      <c r="G189">
        <v>138.17398320000001</v>
      </c>
      <c r="H189">
        <v>16.904238970000002</v>
      </c>
      <c r="I189" t="s">
        <v>44</v>
      </c>
      <c r="J189" s="1">
        <v>45457</v>
      </c>
    </row>
    <row r="190" spans="1:10" x14ac:dyDescent="0.3">
      <c r="A190">
        <v>811</v>
      </c>
      <c r="B190" t="s">
        <v>14</v>
      </c>
      <c r="C190" t="s">
        <v>11</v>
      </c>
      <c r="D190">
        <v>59.024692229999999</v>
      </c>
      <c r="E190">
        <v>433.37157989999997</v>
      </c>
      <c r="F190">
        <v>352.3452461</v>
      </c>
      <c r="G190">
        <v>224.84062539999999</v>
      </c>
      <c r="H190">
        <v>23.776165630000001</v>
      </c>
      <c r="I190" t="s">
        <v>44</v>
      </c>
      <c r="J190" s="1">
        <v>45737</v>
      </c>
    </row>
    <row r="191" spans="1:10" x14ac:dyDescent="0.3">
      <c r="A191">
        <v>1000</v>
      </c>
      <c r="B191" t="s">
        <v>42</v>
      </c>
      <c r="D191">
        <v>38.274083910000002</v>
      </c>
      <c r="E191">
        <v>592.39704589999997</v>
      </c>
      <c r="F191">
        <v>542.46636690000003</v>
      </c>
      <c r="G191">
        <v>170.2942185</v>
      </c>
      <c r="H191">
        <v>30.00360453</v>
      </c>
      <c r="I191" t="s">
        <v>44</v>
      </c>
      <c r="J191" s="1">
        <v>45926</v>
      </c>
    </row>
    <row r="192" spans="1:10" x14ac:dyDescent="0.3">
      <c r="A192">
        <v>967</v>
      </c>
      <c r="B192" t="s">
        <v>13</v>
      </c>
      <c r="C192" t="s">
        <v>19</v>
      </c>
      <c r="D192">
        <v>65.728146409999994</v>
      </c>
      <c r="E192">
        <v>403.7312968</v>
      </c>
      <c r="F192">
        <v>358.3432881</v>
      </c>
      <c r="G192">
        <v>205.63288439999999</v>
      </c>
      <c r="H192">
        <v>35.443073509999998</v>
      </c>
      <c r="I192" t="s">
        <v>44</v>
      </c>
      <c r="J192" s="1">
        <v>45893</v>
      </c>
    </row>
    <row r="193" spans="1:10" x14ac:dyDescent="0.3">
      <c r="A193">
        <v>111</v>
      </c>
      <c r="B193" t="s">
        <v>12</v>
      </c>
      <c r="C193" t="s">
        <v>19</v>
      </c>
      <c r="D193">
        <v>33.495087900000001</v>
      </c>
      <c r="E193">
        <v>484.04054380000002</v>
      </c>
      <c r="F193">
        <v>655.73451750000004</v>
      </c>
      <c r="G193">
        <v>212.51476550000001</v>
      </c>
      <c r="H193">
        <v>29.926567930000001</v>
      </c>
      <c r="I193" t="s">
        <v>40</v>
      </c>
      <c r="J193" s="1">
        <v>45037</v>
      </c>
    </row>
    <row r="194" spans="1:10" x14ac:dyDescent="0.3">
      <c r="A194">
        <v>996</v>
      </c>
      <c r="B194" t="s">
        <v>42</v>
      </c>
      <c r="C194" t="s">
        <v>15</v>
      </c>
      <c r="D194">
        <v>52.80121389</v>
      </c>
      <c r="E194">
        <v>344.64164570000003</v>
      </c>
      <c r="F194">
        <v>449.81030029999999</v>
      </c>
      <c r="G194">
        <v>209.4116636</v>
      </c>
      <c r="H194">
        <v>28.98691616</v>
      </c>
      <c r="I194" t="s">
        <v>16</v>
      </c>
      <c r="J194" s="1">
        <v>45922</v>
      </c>
    </row>
    <row r="195" spans="1:10" x14ac:dyDescent="0.3">
      <c r="A195">
        <v>559</v>
      </c>
      <c r="B195" t="s">
        <v>43</v>
      </c>
      <c r="C195" t="s">
        <v>41</v>
      </c>
      <c r="D195">
        <v>68.613155969999994</v>
      </c>
      <c r="E195">
        <v>517.4817769</v>
      </c>
      <c r="G195">
        <v>267.92914350000001</v>
      </c>
      <c r="H195">
        <v>26.848586000000001</v>
      </c>
      <c r="I195" t="s">
        <v>40</v>
      </c>
      <c r="J195" s="1">
        <v>45485</v>
      </c>
    </row>
    <row r="196" spans="1:10" x14ac:dyDescent="0.3">
      <c r="A196">
        <v>794</v>
      </c>
      <c r="B196" t="s">
        <v>42</v>
      </c>
      <c r="C196" t="s">
        <v>11</v>
      </c>
      <c r="D196">
        <v>53.169794179999997</v>
      </c>
      <c r="E196">
        <v>526.12666839999997</v>
      </c>
      <c r="F196">
        <v>611.18845290000002</v>
      </c>
      <c r="G196">
        <v>158.6742414</v>
      </c>
      <c r="H196">
        <v>31.66704506</v>
      </c>
      <c r="I196" t="s">
        <v>16</v>
      </c>
      <c r="J196" s="1">
        <v>45720</v>
      </c>
    </row>
    <row r="197" spans="1:10" x14ac:dyDescent="0.3">
      <c r="A197">
        <v>937</v>
      </c>
      <c r="B197" t="s">
        <v>42</v>
      </c>
      <c r="C197" t="s">
        <v>11</v>
      </c>
      <c r="D197">
        <v>35.873315820000002</v>
      </c>
      <c r="E197">
        <v>344.68679470000001</v>
      </c>
      <c r="F197">
        <v>415.06495530000001</v>
      </c>
      <c r="G197">
        <v>178.76388919999999</v>
      </c>
      <c r="H197">
        <v>29.285667069999999</v>
      </c>
      <c r="I197" t="s">
        <v>40</v>
      </c>
      <c r="J197" s="1">
        <v>45863</v>
      </c>
    </row>
    <row r="198" spans="1:10" x14ac:dyDescent="0.3">
      <c r="A198">
        <v>920</v>
      </c>
      <c r="B198" t="s">
        <v>10</v>
      </c>
      <c r="C198" t="s">
        <v>11</v>
      </c>
      <c r="D198">
        <v>64.334224199999994</v>
      </c>
      <c r="E198">
        <v>378.6058294</v>
      </c>
      <c r="F198">
        <v>463.68872520000002</v>
      </c>
      <c r="G198">
        <v>175.33046250000001</v>
      </c>
      <c r="H198">
        <v>25.365028070000001</v>
      </c>
      <c r="I198" t="s">
        <v>18</v>
      </c>
      <c r="J198" s="1">
        <v>45846</v>
      </c>
    </row>
    <row r="199" spans="1:10" x14ac:dyDescent="0.3">
      <c r="A199">
        <v>943</v>
      </c>
      <c r="B199" t="s">
        <v>43</v>
      </c>
      <c r="C199" t="s">
        <v>11</v>
      </c>
      <c r="D199">
        <v>33.711098159999999</v>
      </c>
      <c r="E199">
        <v>622.12356599999998</v>
      </c>
      <c r="F199">
        <v>499.15773230000002</v>
      </c>
      <c r="G199">
        <v>165.33446269999999</v>
      </c>
      <c r="H199">
        <v>35.50331972</v>
      </c>
      <c r="I199" t="s">
        <v>16</v>
      </c>
      <c r="J199" s="1">
        <v>45869</v>
      </c>
    </row>
    <row r="200" spans="1:10" x14ac:dyDescent="0.3">
      <c r="A200">
        <v>320</v>
      </c>
      <c r="C200" t="s">
        <v>17</v>
      </c>
      <c r="D200">
        <v>50.812768429999998</v>
      </c>
      <c r="E200">
        <v>542.26550659999998</v>
      </c>
      <c r="F200">
        <v>443.94541570000001</v>
      </c>
      <c r="G200">
        <v>93.815849130000004</v>
      </c>
      <c r="H200">
        <v>31.444324739999999</v>
      </c>
      <c r="I200" t="s">
        <v>18</v>
      </c>
      <c r="J200" s="1">
        <v>45246</v>
      </c>
    </row>
    <row r="201" spans="1:10" x14ac:dyDescent="0.3">
      <c r="A201">
        <v>517</v>
      </c>
      <c r="B201" t="s">
        <v>42</v>
      </c>
      <c r="C201" t="s">
        <v>17</v>
      </c>
      <c r="D201">
        <v>31.008236119999999</v>
      </c>
      <c r="E201">
        <v>338.46335490000001</v>
      </c>
      <c r="F201">
        <v>283.48740989999999</v>
      </c>
      <c r="G201">
        <v>209.974265</v>
      </c>
      <c r="H201">
        <v>20.103970700000001</v>
      </c>
      <c r="I201" t="s">
        <v>16</v>
      </c>
      <c r="J201" s="1">
        <v>45443</v>
      </c>
    </row>
    <row r="202" spans="1:10" x14ac:dyDescent="0.3">
      <c r="A202">
        <v>450</v>
      </c>
      <c r="B202" t="s">
        <v>12</v>
      </c>
      <c r="C202" t="s">
        <v>15</v>
      </c>
      <c r="D202">
        <v>50.900428380000001</v>
      </c>
      <c r="E202">
        <v>418.72720429999998</v>
      </c>
      <c r="F202">
        <v>382.3763581</v>
      </c>
      <c r="G202">
        <v>197.19328590000001</v>
      </c>
      <c r="H202">
        <v>24.84928867</v>
      </c>
      <c r="I202" t="s">
        <v>40</v>
      </c>
      <c r="J202" s="1">
        <v>45376</v>
      </c>
    </row>
    <row r="203" spans="1:10" x14ac:dyDescent="0.3">
      <c r="A203">
        <v>784</v>
      </c>
      <c r="B203" t="s">
        <v>12</v>
      </c>
      <c r="C203" t="s">
        <v>15</v>
      </c>
      <c r="D203">
        <v>61.005976070000003</v>
      </c>
      <c r="E203">
        <v>468.7457263</v>
      </c>
      <c r="F203">
        <v>568.84885469999995</v>
      </c>
      <c r="G203">
        <v>167.44485510000001</v>
      </c>
      <c r="H203">
        <v>30.365290959999999</v>
      </c>
      <c r="I203" t="s">
        <v>18</v>
      </c>
      <c r="J203" s="1">
        <v>45710</v>
      </c>
    </row>
    <row r="204" spans="1:10" x14ac:dyDescent="0.3">
      <c r="A204">
        <v>594</v>
      </c>
      <c r="B204" t="s">
        <v>42</v>
      </c>
      <c r="C204" t="s">
        <v>15</v>
      </c>
      <c r="D204">
        <v>57.714389920000002</v>
      </c>
      <c r="E204">
        <v>475.87689339999997</v>
      </c>
      <c r="F204">
        <v>494.34683100000001</v>
      </c>
      <c r="G204">
        <v>236.03860420000001</v>
      </c>
      <c r="H204">
        <v>30.59339542</v>
      </c>
      <c r="J204" s="1">
        <v>45520</v>
      </c>
    </row>
    <row r="205" spans="1:10" x14ac:dyDescent="0.3">
      <c r="A205">
        <v>910</v>
      </c>
      <c r="B205" t="s">
        <v>43</v>
      </c>
      <c r="C205" t="s">
        <v>19</v>
      </c>
      <c r="D205">
        <v>57.32649361</v>
      </c>
      <c r="E205">
        <v>473.8294932</v>
      </c>
      <c r="F205">
        <v>494.61776470000001</v>
      </c>
      <c r="G205">
        <v>164.47349600000001</v>
      </c>
      <c r="H205">
        <v>28.693499450000001</v>
      </c>
      <c r="I205" t="s">
        <v>40</v>
      </c>
      <c r="J205" s="1">
        <v>45836</v>
      </c>
    </row>
    <row r="206" spans="1:10" x14ac:dyDescent="0.3">
      <c r="A206">
        <v>744</v>
      </c>
      <c r="B206" t="s">
        <v>12</v>
      </c>
      <c r="C206" t="s">
        <v>19</v>
      </c>
      <c r="D206">
        <v>59.926885390000002</v>
      </c>
      <c r="E206">
        <v>450.78564849999998</v>
      </c>
      <c r="F206">
        <v>443.64463480000001</v>
      </c>
      <c r="G206">
        <v>247.97202659999999</v>
      </c>
      <c r="H206">
        <v>23.141776780000001</v>
      </c>
      <c r="I206" t="s">
        <v>16</v>
      </c>
      <c r="J206" s="1">
        <v>45670</v>
      </c>
    </row>
    <row r="207" spans="1:10" x14ac:dyDescent="0.3">
      <c r="A207">
        <v>138</v>
      </c>
      <c r="B207" t="s">
        <v>12</v>
      </c>
      <c r="C207" t="s">
        <v>41</v>
      </c>
      <c r="D207">
        <v>49.104773899999998</v>
      </c>
      <c r="E207">
        <v>467.99080190000001</v>
      </c>
      <c r="F207">
        <v>423.07854700000001</v>
      </c>
      <c r="G207">
        <v>157.0383429</v>
      </c>
      <c r="H207">
        <v>34.447706160000003</v>
      </c>
      <c r="I207" t="s">
        <v>16</v>
      </c>
      <c r="J207" s="1">
        <v>45064</v>
      </c>
    </row>
    <row r="208" spans="1:10" x14ac:dyDescent="0.3">
      <c r="A208">
        <v>800</v>
      </c>
      <c r="B208" t="s">
        <v>14</v>
      </c>
      <c r="C208" t="s">
        <v>19</v>
      </c>
      <c r="D208">
        <v>43.542286490000002</v>
      </c>
      <c r="E208">
        <v>521.18786790000001</v>
      </c>
      <c r="F208">
        <v>660.50571390000005</v>
      </c>
      <c r="G208">
        <v>159.40129239999999</v>
      </c>
      <c r="H208">
        <v>28.330272019999999</v>
      </c>
      <c r="I208" t="s">
        <v>40</v>
      </c>
      <c r="J208" s="1">
        <v>45726</v>
      </c>
    </row>
    <row r="209" spans="1:10" x14ac:dyDescent="0.3">
      <c r="A209">
        <v>934</v>
      </c>
      <c r="B209" t="s">
        <v>13</v>
      </c>
      <c r="C209" t="s">
        <v>17</v>
      </c>
      <c r="D209">
        <v>45.698433639999998</v>
      </c>
      <c r="E209">
        <v>448.78542679999998</v>
      </c>
      <c r="F209">
        <v>449.64579609999998</v>
      </c>
      <c r="G209">
        <v>219.54702990000001</v>
      </c>
      <c r="H209">
        <v>31.374563550000001</v>
      </c>
      <c r="I209" t="s">
        <v>18</v>
      </c>
      <c r="J209" s="1">
        <v>45860</v>
      </c>
    </row>
    <row r="210" spans="1:10" x14ac:dyDescent="0.3">
      <c r="A210">
        <v>823</v>
      </c>
      <c r="B210" t="s">
        <v>42</v>
      </c>
      <c r="C210" t="s">
        <v>41</v>
      </c>
      <c r="D210">
        <v>282.66415869999997</v>
      </c>
      <c r="E210">
        <v>1847.3903439999999</v>
      </c>
      <c r="F210">
        <v>353.24064010000001</v>
      </c>
      <c r="G210">
        <v>36.249468299999997</v>
      </c>
      <c r="H210">
        <v>27.067355030000002</v>
      </c>
      <c r="I210" t="s">
        <v>18</v>
      </c>
      <c r="J210" s="1">
        <v>45749</v>
      </c>
    </row>
    <row r="211" spans="1:10" x14ac:dyDescent="0.3">
      <c r="A211">
        <v>766</v>
      </c>
      <c r="B211" t="s">
        <v>42</v>
      </c>
      <c r="C211" t="s">
        <v>41</v>
      </c>
      <c r="D211">
        <v>57.775312409999998</v>
      </c>
      <c r="E211">
        <v>607.765131</v>
      </c>
      <c r="F211">
        <v>699.27138060000004</v>
      </c>
      <c r="G211">
        <v>225.87600499999999</v>
      </c>
      <c r="H211">
        <v>27.239781919999999</v>
      </c>
      <c r="I211" t="s">
        <v>40</v>
      </c>
      <c r="J211" s="1">
        <v>45692</v>
      </c>
    </row>
    <row r="212" spans="1:10" x14ac:dyDescent="0.3">
      <c r="A212">
        <v>262</v>
      </c>
      <c r="B212" t="s">
        <v>10</v>
      </c>
      <c r="C212" t="s">
        <v>19</v>
      </c>
      <c r="D212">
        <v>46.99095981</v>
      </c>
      <c r="E212">
        <v>373.0604793</v>
      </c>
      <c r="F212">
        <v>322.04759510000002</v>
      </c>
      <c r="G212">
        <v>117.8723323</v>
      </c>
      <c r="H212">
        <v>42.186212879999999</v>
      </c>
      <c r="I212" t="s">
        <v>40</v>
      </c>
      <c r="J212" s="1">
        <v>45188</v>
      </c>
    </row>
    <row r="213" spans="1:10" x14ac:dyDescent="0.3">
      <c r="A213">
        <v>568</v>
      </c>
      <c r="C213" t="s">
        <v>17</v>
      </c>
      <c r="D213">
        <v>43.50734422</v>
      </c>
      <c r="E213">
        <v>574.38156990000004</v>
      </c>
      <c r="F213">
        <v>339.75107659999998</v>
      </c>
      <c r="G213">
        <v>273.35358179999997</v>
      </c>
      <c r="H213">
        <v>33.360174729999997</v>
      </c>
      <c r="J213" s="1">
        <v>45494</v>
      </c>
    </row>
    <row r="214" spans="1:10" x14ac:dyDescent="0.3">
      <c r="A214">
        <v>833</v>
      </c>
      <c r="B214" t="s">
        <v>12</v>
      </c>
      <c r="C214" t="s">
        <v>19</v>
      </c>
      <c r="D214">
        <v>62.218005529999999</v>
      </c>
      <c r="E214">
        <v>635.20284760000004</v>
      </c>
      <c r="F214">
        <v>383.43305129999999</v>
      </c>
      <c r="H214">
        <v>26.07585048</v>
      </c>
      <c r="J214" s="1">
        <v>45759</v>
      </c>
    </row>
    <row r="215" spans="1:10" x14ac:dyDescent="0.3">
      <c r="A215">
        <v>382</v>
      </c>
      <c r="B215" t="s">
        <v>42</v>
      </c>
      <c r="C215" t="s">
        <v>15</v>
      </c>
      <c r="D215">
        <v>42.067181060000003</v>
      </c>
      <c r="E215">
        <v>545.47951699999999</v>
      </c>
      <c r="F215">
        <v>577.07096669999999</v>
      </c>
      <c r="H215">
        <v>26.513454249999999</v>
      </c>
      <c r="I215" t="s">
        <v>44</v>
      </c>
    </row>
    <row r="216" spans="1:10" x14ac:dyDescent="0.3">
      <c r="A216">
        <v>334</v>
      </c>
      <c r="B216" t="s">
        <v>10</v>
      </c>
      <c r="C216" t="s">
        <v>19</v>
      </c>
      <c r="D216">
        <v>53.61676585</v>
      </c>
      <c r="E216">
        <v>613.36234720000004</v>
      </c>
      <c r="F216">
        <v>490.94259290000002</v>
      </c>
      <c r="G216">
        <v>260.25478270000002</v>
      </c>
      <c r="H216">
        <v>31.87584507</v>
      </c>
      <c r="I216" t="s">
        <v>18</v>
      </c>
      <c r="J216" s="1">
        <v>45260</v>
      </c>
    </row>
    <row r="217" spans="1:10" x14ac:dyDescent="0.3">
      <c r="A217">
        <v>537</v>
      </c>
      <c r="B217" t="s">
        <v>43</v>
      </c>
      <c r="C217" t="s">
        <v>17</v>
      </c>
      <c r="D217">
        <v>52.779830650000001</v>
      </c>
      <c r="E217">
        <v>430.5642029</v>
      </c>
      <c r="F217">
        <v>311.51984440000001</v>
      </c>
      <c r="G217">
        <v>174.61333479999999</v>
      </c>
      <c r="H217">
        <v>30.20548191</v>
      </c>
      <c r="J217" s="1">
        <v>45463</v>
      </c>
    </row>
    <row r="218" spans="1:10" x14ac:dyDescent="0.3">
      <c r="A218">
        <v>352</v>
      </c>
      <c r="B218" t="s">
        <v>10</v>
      </c>
      <c r="D218">
        <v>54.639722829999997</v>
      </c>
      <c r="E218">
        <v>579.29348530000004</v>
      </c>
      <c r="F218">
        <v>652.73348580000004</v>
      </c>
      <c r="G218">
        <v>155.35852009999999</v>
      </c>
      <c r="H218">
        <v>36.963274439999999</v>
      </c>
      <c r="I218" t="s">
        <v>18</v>
      </c>
      <c r="J218" s="1">
        <v>45278</v>
      </c>
    </row>
    <row r="219" spans="1:10" x14ac:dyDescent="0.3">
      <c r="A219">
        <v>786</v>
      </c>
      <c r="B219" t="s">
        <v>13</v>
      </c>
      <c r="D219">
        <v>49.36553936</v>
      </c>
      <c r="E219">
        <v>553.87981590000004</v>
      </c>
      <c r="F219">
        <v>354.9782945</v>
      </c>
      <c r="G219">
        <v>168.78008600000001</v>
      </c>
      <c r="H219">
        <v>28.15044765</v>
      </c>
      <c r="I219" t="s">
        <v>40</v>
      </c>
      <c r="J219" s="1">
        <v>45712</v>
      </c>
    </row>
    <row r="220" spans="1:10" x14ac:dyDescent="0.3">
      <c r="A220">
        <v>452</v>
      </c>
      <c r="B220" t="s">
        <v>12</v>
      </c>
      <c r="C220" t="s">
        <v>11</v>
      </c>
      <c r="D220">
        <v>45.45179684</v>
      </c>
      <c r="E220">
        <v>624.77568340000005</v>
      </c>
      <c r="F220">
        <v>420.86727259999998</v>
      </c>
      <c r="G220">
        <v>252.04570409999999</v>
      </c>
      <c r="H220">
        <v>31.885451100000001</v>
      </c>
      <c r="I220" t="s">
        <v>44</v>
      </c>
      <c r="J220" s="1">
        <v>45378</v>
      </c>
    </row>
    <row r="221" spans="1:10" x14ac:dyDescent="0.3">
      <c r="A221">
        <v>79</v>
      </c>
      <c r="B221" t="s">
        <v>10</v>
      </c>
      <c r="C221" t="s">
        <v>17</v>
      </c>
      <c r="D221">
        <v>56.186865480000002</v>
      </c>
      <c r="E221">
        <v>500.7964283</v>
      </c>
      <c r="F221">
        <v>512.00073169999996</v>
      </c>
      <c r="G221">
        <v>214.02661699999999</v>
      </c>
      <c r="H221">
        <v>30.213914509999999</v>
      </c>
      <c r="I221" t="s">
        <v>18</v>
      </c>
      <c r="J221" s="1">
        <v>45005</v>
      </c>
    </row>
    <row r="222" spans="1:10" x14ac:dyDescent="0.3">
      <c r="A222">
        <v>30</v>
      </c>
      <c r="B222" t="s">
        <v>43</v>
      </c>
      <c r="C222" t="s">
        <v>15</v>
      </c>
      <c r="D222">
        <v>59.95752237</v>
      </c>
      <c r="E222">
        <v>446.84430630000003</v>
      </c>
      <c r="F222">
        <v>398.46708919999998</v>
      </c>
      <c r="G222">
        <v>204.5091319</v>
      </c>
      <c r="H222">
        <v>26.556321409999999</v>
      </c>
      <c r="I222" t="s">
        <v>18</v>
      </c>
      <c r="J222" s="1">
        <v>44956</v>
      </c>
    </row>
    <row r="223" spans="1:10" x14ac:dyDescent="0.3">
      <c r="A223">
        <v>713</v>
      </c>
      <c r="B223" t="s">
        <v>43</v>
      </c>
      <c r="D223">
        <v>48.004713270000003</v>
      </c>
      <c r="E223">
        <v>446.1962757</v>
      </c>
      <c r="F223">
        <v>455.55274459999998</v>
      </c>
      <c r="G223">
        <v>209.88246509999999</v>
      </c>
      <c r="H223">
        <v>28.0453847</v>
      </c>
      <c r="I223" t="s">
        <v>44</v>
      </c>
      <c r="J223" s="1">
        <v>45639</v>
      </c>
    </row>
    <row r="224" spans="1:10" x14ac:dyDescent="0.3">
      <c r="A224">
        <v>278</v>
      </c>
      <c r="B224" t="s">
        <v>13</v>
      </c>
      <c r="D224">
        <v>54.535378340000001</v>
      </c>
      <c r="E224">
        <v>515.04054380000002</v>
      </c>
      <c r="F224">
        <v>215.22973820000001</v>
      </c>
      <c r="G224">
        <v>143.4549854</v>
      </c>
      <c r="H224">
        <v>31.674190979999999</v>
      </c>
      <c r="I224" t="s">
        <v>18</v>
      </c>
      <c r="J224" s="1">
        <v>45204</v>
      </c>
    </row>
    <row r="225" spans="1:10" x14ac:dyDescent="0.3">
      <c r="A225">
        <v>248</v>
      </c>
      <c r="B225" t="s">
        <v>10</v>
      </c>
      <c r="D225">
        <v>40.627719509999999</v>
      </c>
      <c r="E225">
        <v>557.2092778</v>
      </c>
      <c r="F225">
        <v>432.46486820000001</v>
      </c>
      <c r="G225">
        <v>207.46781010000001</v>
      </c>
      <c r="H225">
        <v>26.891153240000001</v>
      </c>
      <c r="I225" t="s">
        <v>44</v>
      </c>
      <c r="J225" s="1">
        <v>45174</v>
      </c>
    </row>
    <row r="226" spans="1:10" x14ac:dyDescent="0.3">
      <c r="A226">
        <v>658</v>
      </c>
      <c r="B226" t="s">
        <v>13</v>
      </c>
      <c r="C226" t="s">
        <v>41</v>
      </c>
      <c r="D226">
        <v>41.709830799999999</v>
      </c>
      <c r="E226">
        <v>505.72903539999999</v>
      </c>
      <c r="F226">
        <v>606.52945350000005</v>
      </c>
      <c r="G226">
        <v>201.1225206</v>
      </c>
      <c r="H226">
        <v>26.90913419</v>
      </c>
      <c r="I226" t="s">
        <v>40</v>
      </c>
      <c r="J226" s="1">
        <v>45584</v>
      </c>
    </row>
    <row r="227" spans="1:10" x14ac:dyDescent="0.3">
      <c r="A227">
        <v>307</v>
      </c>
      <c r="C227" t="s">
        <v>17</v>
      </c>
      <c r="D227">
        <v>54.626263350000002</v>
      </c>
      <c r="E227">
        <v>444.92788039999999</v>
      </c>
      <c r="F227">
        <v>619.80385260000003</v>
      </c>
      <c r="G227">
        <v>105.6234048</v>
      </c>
      <c r="H227">
        <v>27.995424029999999</v>
      </c>
      <c r="I227" t="s">
        <v>40</v>
      </c>
      <c r="J227" s="1">
        <v>45233</v>
      </c>
    </row>
    <row r="228" spans="1:10" x14ac:dyDescent="0.3">
      <c r="A228">
        <v>166</v>
      </c>
      <c r="B228" t="s">
        <v>42</v>
      </c>
      <c r="D228">
        <v>48.360391200000002</v>
      </c>
      <c r="E228">
        <v>259.01118330000003</v>
      </c>
      <c r="F228">
        <v>483.72911599999998</v>
      </c>
      <c r="G228">
        <v>305.8373411</v>
      </c>
      <c r="H228">
        <v>26.997444909999999</v>
      </c>
      <c r="I228" t="s">
        <v>18</v>
      </c>
      <c r="J228" s="1">
        <v>45092</v>
      </c>
    </row>
    <row r="229" spans="1:10" x14ac:dyDescent="0.3">
      <c r="A229">
        <v>817</v>
      </c>
      <c r="B229" t="s">
        <v>10</v>
      </c>
      <c r="C229" t="s">
        <v>41</v>
      </c>
      <c r="D229">
        <v>42.662120260000002</v>
      </c>
      <c r="E229">
        <v>329.7786734</v>
      </c>
      <c r="F229">
        <v>590.40137519999996</v>
      </c>
      <c r="G229">
        <v>201.1428755</v>
      </c>
      <c r="H229">
        <v>21.718097360000002</v>
      </c>
      <c r="I229" t="s">
        <v>18</v>
      </c>
      <c r="J229" s="1">
        <v>45743</v>
      </c>
    </row>
    <row r="230" spans="1:10" x14ac:dyDescent="0.3">
      <c r="A230">
        <v>179</v>
      </c>
      <c r="B230" t="s">
        <v>14</v>
      </c>
      <c r="C230" t="s">
        <v>15</v>
      </c>
      <c r="D230">
        <v>39.104069019999997</v>
      </c>
      <c r="E230">
        <v>598.0853449</v>
      </c>
      <c r="F230">
        <v>404.37377359999999</v>
      </c>
      <c r="G230">
        <v>284.8716091</v>
      </c>
      <c r="H230">
        <v>41.69564476</v>
      </c>
      <c r="I230" t="s">
        <v>16</v>
      </c>
      <c r="J230" s="1">
        <v>45105</v>
      </c>
    </row>
    <row r="231" spans="1:10" x14ac:dyDescent="0.3">
      <c r="A231">
        <v>486</v>
      </c>
      <c r="B231" t="s">
        <v>42</v>
      </c>
      <c r="C231" t="s">
        <v>19</v>
      </c>
      <c r="D231">
        <v>30.52116487</v>
      </c>
      <c r="E231">
        <v>402.67576869999999</v>
      </c>
      <c r="F231">
        <v>712.23844039999994</v>
      </c>
      <c r="G231">
        <v>216.75106479999999</v>
      </c>
      <c r="I231" t="s">
        <v>18</v>
      </c>
      <c r="J231" s="1">
        <v>45412</v>
      </c>
    </row>
    <row r="232" spans="1:10" x14ac:dyDescent="0.3">
      <c r="A232">
        <v>66</v>
      </c>
      <c r="B232" t="s">
        <v>43</v>
      </c>
      <c r="C232" t="s">
        <v>15</v>
      </c>
      <c r="D232">
        <v>284.07225399999999</v>
      </c>
      <c r="E232">
        <v>1748.037898</v>
      </c>
      <c r="F232">
        <v>457.58359300000001</v>
      </c>
      <c r="G232">
        <v>189.3710686</v>
      </c>
      <c r="H232">
        <v>25.848497340000002</v>
      </c>
      <c r="J232" s="1">
        <v>44992</v>
      </c>
    </row>
    <row r="233" spans="1:10" x14ac:dyDescent="0.3">
      <c r="A233">
        <v>142</v>
      </c>
      <c r="B233" t="s">
        <v>14</v>
      </c>
      <c r="D233">
        <v>53.79726187</v>
      </c>
      <c r="E233">
        <v>710.38060919999998</v>
      </c>
      <c r="F233">
        <v>610.52878120000003</v>
      </c>
      <c r="G233">
        <v>208.08909560000001</v>
      </c>
      <c r="H233">
        <v>30.426943049999998</v>
      </c>
      <c r="I233" t="s">
        <v>44</v>
      </c>
      <c r="J233" s="1">
        <v>45068</v>
      </c>
    </row>
    <row r="234" spans="1:10" x14ac:dyDescent="0.3">
      <c r="A234">
        <v>437</v>
      </c>
      <c r="B234" t="s">
        <v>12</v>
      </c>
      <c r="C234" t="s">
        <v>15</v>
      </c>
      <c r="D234">
        <v>49.116573410000001</v>
      </c>
      <c r="E234">
        <v>389.17425379999997</v>
      </c>
      <c r="F234">
        <v>453.3973704</v>
      </c>
      <c r="G234">
        <v>266.51908429999997</v>
      </c>
      <c r="H234">
        <v>29.214816549999998</v>
      </c>
      <c r="I234" t="s">
        <v>16</v>
      </c>
      <c r="J234" s="1">
        <v>45363</v>
      </c>
    </row>
    <row r="235" spans="1:10" x14ac:dyDescent="0.3">
      <c r="A235">
        <v>523</v>
      </c>
      <c r="C235" t="s">
        <v>19</v>
      </c>
      <c r="D235">
        <v>43.776218049999997</v>
      </c>
      <c r="E235">
        <v>430.96133739999999</v>
      </c>
      <c r="F235">
        <v>385.27835859999999</v>
      </c>
      <c r="G235">
        <v>173.3072535</v>
      </c>
      <c r="H235">
        <v>31.946711969999999</v>
      </c>
      <c r="I235" t="s">
        <v>16</v>
      </c>
      <c r="J235" s="1">
        <v>45449</v>
      </c>
    </row>
    <row r="236" spans="1:10" x14ac:dyDescent="0.3">
      <c r="A236">
        <v>845</v>
      </c>
      <c r="C236" t="s">
        <v>15</v>
      </c>
      <c r="E236">
        <v>381.41394530000002</v>
      </c>
      <c r="F236">
        <v>538.57257809999999</v>
      </c>
      <c r="G236">
        <v>162.4550265</v>
      </c>
      <c r="H236">
        <v>44.07992952</v>
      </c>
      <c r="J236" s="1">
        <v>45771</v>
      </c>
    </row>
    <row r="237" spans="1:10" x14ac:dyDescent="0.3">
      <c r="A237">
        <v>421</v>
      </c>
      <c r="B237" t="s">
        <v>14</v>
      </c>
      <c r="C237" t="s">
        <v>41</v>
      </c>
      <c r="D237">
        <v>30.398419919999998</v>
      </c>
      <c r="E237">
        <v>638.72574110000005</v>
      </c>
      <c r="F237">
        <v>379.15301570000003</v>
      </c>
      <c r="G237">
        <v>179.68787760000001</v>
      </c>
      <c r="H237">
        <v>26.550420110000001</v>
      </c>
      <c r="I237" t="s">
        <v>16</v>
      </c>
      <c r="J237" s="1">
        <v>45347</v>
      </c>
    </row>
    <row r="238" spans="1:10" x14ac:dyDescent="0.3">
      <c r="A238">
        <v>405</v>
      </c>
      <c r="C238" t="s">
        <v>11</v>
      </c>
      <c r="D238">
        <v>44.92892106</v>
      </c>
      <c r="E238">
        <v>399.75280679999997</v>
      </c>
      <c r="F238">
        <v>454.40042410000001</v>
      </c>
      <c r="G238">
        <v>193.7510135</v>
      </c>
      <c r="H238">
        <v>29.20714954</v>
      </c>
      <c r="I238" t="s">
        <v>40</v>
      </c>
      <c r="J238" s="1">
        <v>45331</v>
      </c>
    </row>
    <row r="239" spans="1:10" x14ac:dyDescent="0.3">
      <c r="A239">
        <v>680</v>
      </c>
      <c r="B239" t="s">
        <v>14</v>
      </c>
      <c r="C239" t="s">
        <v>11</v>
      </c>
      <c r="D239">
        <v>55.114155009999998</v>
      </c>
      <c r="E239">
        <v>431.26156880000002</v>
      </c>
      <c r="F239">
        <v>341.16258299999998</v>
      </c>
      <c r="G239">
        <v>180.2392499</v>
      </c>
      <c r="H239">
        <v>23.74963241</v>
      </c>
      <c r="I239" t="s">
        <v>16</v>
      </c>
      <c r="J239" s="1">
        <v>45606</v>
      </c>
    </row>
    <row r="240" spans="1:10" x14ac:dyDescent="0.3">
      <c r="A240">
        <v>266</v>
      </c>
      <c r="B240" t="s">
        <v>14</v>
      </c>
      <c r="C240" t="s">
        <v>41</v>
      </c>
      <c r="D240">
        <v>42.991683209999998</v>
      </c>
      <c r="E240">
        <v>571.41034999999999</v>
      </c>
      <c r="F240">
        <v>519.05242310000006</v>
      </c>
      <c r="G240">
        <v>314.02496530000002</v>
      </c>
      <c r="H240">
        <v>36.94100469</v>
      </c>
      <c r="I240" t="s">
        <v>18</v>
      </c>
      <c r="J240" s="1">
        <v>45192</v>
      </c>
    </row>
    <row r="241" spans="1:10" x14ac:dyDescent="0.3">
      <c r="A241">
        <v>880</v>
      </c>
      <c r="B241" t="s">
        <v>43</v>
      </c>
      <c r="C241" t="s">
        <v>41</v>
      </c>
      <c r="D241">
        <v>65.313237450000003</v>
      </c>
      <c r="E241">
        <v>529.08528000000001</v>
      </c>
      <c r="F241">
        <v>621.81136749999996</v>
      </c>
      <c r="G241">
        <v>176.76702739999999</v>
      </c>
      <c r="H241">
        <v>32.991990039999997</v>
      </c>
      <c r="I241" t="s">
        <v>40</v>
      </c>
      <c r="J241" s="1">
        <v>45806</v>
      </c>
    </row>
    <row r="242" spans="1:10" x14ac:dyDescent="0.3">
      <c r="A242">
        <v>293</v>
      </c>
      <c r="B242" t="s">
        <v>13</v>
      </c>
      <c r="C242" t="s">
        <v>11</v>
      </c>
      <c r="D242">
        <v>53.026853490000001</v>
      </c>
      <c r="E242">
        <v>345.9752368</v>
      </c>
      <c r="F242">
        <v>360.27905129999999</v>
      </c>
      <c r="G242">
        <v>203.5940468</v>
      </c>
      <c r="H242">
        <v>33.38239334</v>
      </c>
      <c r="I242" t="s">
        <v>18</v>
      </c>
      <c r="J242" s="1">
        <v>45219</v>
      </c>
    </row>
    <row r="243" spans="1:10" x14ac:dyDescent="0.3">
      <c r="A243">
        <v>222</v>
      </c>
      <c r="B243" t="s">
        <v>13</v>
      </c>
      <c r="D243">
        <v>57.251513989999999</v>
      </c>
      <c r="E243">
        <v>558.45726279999997</v>
      </c>
      <c r="G243">
        <v>248.78391730000001</v>
      </c>
      <c r="H243">
        <v>25.812659920000002</v>
      </c>
      <c r="I243" t="s">
        <v>44</v>
      </c>
      <c r="J243" s="1">
        <v>45148</v>
      </c>
    </row>
    <row r="244" spans="1:10" x14ac:dyDescent="0.3">
      <c r="A244">
        <v>828</v>
      </c>
      <c r="B244" t="s">
        <v>10</v>
      </c>
      <c r="C244" t="s">
        <v>15</v>
      </c>
      <c r="D244" t="s">
        <v>45</v>
      </c>
      <c r="E244">
        <v>533.20652489999998</v>
      </c>
      <c r="F244">
        <v>514.63585809999995</v>
      </c>
      <c r="G244">
        <v>258.33924969999998</v>
      </c>
      <c r="H244">
        <v>44.167478060000001</v>
      </c>
      <c r="J244" s="1">
        <v>45754</v>
      </c>
    </row>
    <row r="245" spans="1:10" x14ac:dyDescent="0.3">
      <c r="A245">
        <v>236</v>
      </c>
      <c r="B245" t="s">
        <v>13</v>
      </c>
      <c r="C245" t="s">
        <v>41</v>
      </c>
      <c r="D245">
        <v>53.96838666</v>
      </c>
      <c r="E245">
        <v>537.1094051</v>
      </c>
      <c r="F245">
        <v>691.99865869999996</v>
      </c>
      <c r="G245">
        <v>236.7299064</v>
      </c>
      <c r="H245">
        <v>25.00496884</v>
      </c>
      <c r="I245" t="s">
        <v>40</v>
      </c>
      <c r="J245" s="1">
        <v>45162</v>
      </c>
    </row>
    <row r="246" spans="1:10" x14ac:dyDescent="0.3">
      <c r="A246">
        <v>526</v>
      </c>
      <c r="B246" t="s">
        <v>42</v>
      </c>
      <c r="C246" t="s">
        <v>19</v>
      </c>
      <c r="D246">
        <v>49.803765140000003</v>
      </c>
      <c r="E246">
        <v>498.34642500000001</v>
      </c>
      <c r="F246">
        <v>692.42011390000005</v>
      </c>
      <c r="G246">
        <v>199.41382479999999</v>
      </c>
      <c r="H246">
        <v>27.0642292</v>
      </c>
      <c r="I246" t="s">
        <v>44</v>
      </c>
      <c r="J246" s="1">
        <v>45452</v>
      </c>
    </row>
    <row r="247" spans="1:10" x14ac:dyDescent="0.3">
      <c r="A247">
        <v>193</v>
      </c>
      <c r="C247" t="s">
        <v>41</v>
      </c>
      <c r="D247">
        <v>57.214662740000001</v>
      </c>
      <c r="E247">
        <v>667.14828910000006</v>
      </c>
      <c r="F247">
        <v>248.13994049999999</v>
      </c>
      <c r="G247">
        <v>193.46314670000001</v>
      </c>
      <c r="H247">
        <v>29.747684759999999</v>
      </c>
      <c r="I247" t="s">
        <v>40</v>
      </c>
      <c r="J247" s="1">
        <v>45119</v>
      </c>
    </row>
    <row r="248" spans="1:10" x14ac:dyDescent="0.3">
      <c r="A248">
        <v>322</v>
      </c>
      <c r="B248" t="s">
        <v>12</v>
      </c>
      <c r="D248">
        <v>46.932196070000003</v>
      </c>
      <c r="E248">
        <v>605.25289410000005</v>
      </c>
      <c r="F248">
        <v>811.91755369999998</v>
      </c>
      <c r="G248">
        <v>202.2935722</v>
      </c>
      <c r="H248">
        <v>35.847041160000003</v>
      </c>
      <c r="I248" t="s">
        <v>40</v>
      </c>
      <c r="J248" s="1">
        <v>45248</v>
      </c>
    </row>
    <row r="249" spans="1:10" x14ac:dyDescent="0.3">
      <c r="A249">
        <v>50</v>
      </c>
      <c r="B249" t="s">
        <v>13</v>
      </c>
      <c r="C249" t="s">
        <v>19</v>
      </c>
      <c r="D249">
        <v>50.376602329999997</v>
      </c>
      <c r="E249">
        <v>445.15603279999999</v>
      </c>
      <c r="F249">
        <v>440.56806740000002</v>
      </c>
      <c r="G249">
        <v>186.48616190000001</v>
      </c>
      <c r="H249">
        <v>28.323963729999999</v>
      </c>
      <c r="I249" t="s">
        <v>40</v>
      </c>
      <c r="J249" s="1">
        <v>44976</v>
      </c>
    </row>
    <row r="250" spans="1:10" x14ac:dyDescent="0.3">
      <c r="A250">
        <v>892</v>
      </c>
      <c r="B250" t="s">
        <v>43</v>
      </c>
      <c r="C250" t="s">
        <v>11</v>
      </c>
      <c r="E250">
        <v>619.51391799999999</v>
      </c>
      <c r="F250">
        <v>462.59080849999998</v>
      </c>
      <c r="G250">
        <v>185.6515182</v>
      </c>
      <c r="H250">
        <v>23.985984030000001</v>
      </c>
    </row>
    <row r="251" spans="1:10" x14ac:dyDescent="0.3">
      <c r="A251">
        <v>3</v>
      </c>
      <c r="B251" t="s">
        <v>43</v>
      </c>
      <c r="C251" t="s">
        <v>19</v>
      </c>
      <c r="D251">
        <v>50.742062140000002</v>
      </c>
      <c r="E251">
        <v>525.52733869999997</v>
      </c>
      <c r="F251">
        <v>379.66716050000002</v>
      </c>
      <c r="G251">
        <v>220.52660069999999</v>
      </c>
      <c r="H251">
        <v>41.02764784</v>
      </c>
      <c r="I251" t="s">
        <v>16</v>
      </c>
      <c r="J251" s="1">
        <v>44929</v>
      </c>
    </row>
    <row r="252" spans="1:10" x14ac:dyDescent="0.3">
      <c r="A252">
        <v>818</v>
      </c>
      <c r="B252" t="s">
        <v>43</v>
      </c>
      <c r="C252" t="s">
        <v>41</v>
      </c>
      <c r="D252">
        <v>50.360633909999997</v>
      </c>
      <c r="E252">
        <v>453.71843139999999</v>
      </c>
      <c r="F252">
        <v>443.83642550000002</v>
      </c>
      <c r="G252">
        <v>236.87564470000001</v>
      </c>
      <c r="H252">
        <v>27.438413449999999</v>
      </c>
      <c r="I252" t="s">
        <v>18</v>
      </c>
      <c r="J252" s="1">
        <v>45744</v>
      </c>
    </row>
    <row r="253" spans="1:10" x14ac:dyDescent="0.3">
      <c r="A253">
        <v>371</v>
      </c>
      <c r="B253" t="s">
        <v>14</v>
      </c>
      <c r="C253" t="s">
        <v>19</v>
      </c>
      <c r="D253">
        <v>24.742813659999999</v>
      </c>
      <c r="E253">
        <v>605.82070469999996</v>
      </c>
      <c r="F253">
        <v>580.35944629999995</v>
      </c>
      <c r="G253">
        <v>254.1960483</v>
      </c>
      <c r="H253">
        <v>29.09909584</v>
      </c>
      <c r="I253" t="s">
        <v>40</v>
      </c>
      <c r="J253" s="1">
        <v>45297</v>
      </c>
    </row>
    <row r="254" spans="1:10" x14ac:dyDescent="0.3">
      <c r="A254">
        <v>922</v>
      </c>
      <c r="B254" t="s">
        <v>43</v>
      </c>
      <c r="C254" t="s">
        <v>17</v>
      </c>
      <c r="D254">
        <v>54.88691953</v>
      </c>
      <c r="E254">
        <v>359.8997162</v>
      </c>
      <c r="F254">
        <v>661.1349232</v>
      </c>
      <c r="G254">
        <v>115.83276530000001</v>
      </c>
      <c r="H254">
        <v>25.520020729999999</v>
      </c>
      <c r="I254" t="s">
        <v>18</v>
      </c>
      <c r="J254" s="1">
        <v>45848</v>
      </c>
    </row>
    <row r="255" spans="1:10" x14ac:dyDescent="0.3">
      <c r="A255">
        <v>250</v>
      </c>
      <c r="B255" t="s">
        <v>42</v>
      </c>
      <c r="C255" t="s">
        <v>19</v>
      </c>
      <c r="D255">
        <v>49.248558330000002</v>
      </c>
      <c r="E255">
        <v>375.66760720000002</v>
      </c>
      <c r="F255">
        <v>587.36682180000003</v>
      </c>
      <c r="G255">
        <v>141.34217200000001</v>
      </c>
      <c r="H255">
        <v>17.725132290000001</v>
      </c>
      <c r="I255" t="s">
        <v>18</v>
      </c>
      <c r="J255" s="1">
        <v>45176</v>
      </c>
    </row>
    <row r="256" spans="1:10" x14ac:dyDescent="0.3">
      <c r="A256">
        <v>549</v>
      </c>
      <c r="B256" t="s">
        <v>12</v>
      </c>
      <c r="C256" t="s">
        <v>17</v>
      </c>
      <c r="D256">
        <v>66.810923149999994</v>
      </c>
      <c r="E256">
        <v>385.44617820000002</v>
      </c>
      <c r="F256">
        <v>413.51336479999998</v>
      </c>
      <c r="G256">
        <v>214.66374830000001</v>
      </c>
      <c r="H256">
        <v>36.039970199999999</v>
      </c>
      <c r="J256" s="1">
        <v>45475</v>
      </c>
    </row>
    <row r="257" spans="1:10" x14ac:dyDescent="0.3">
      <c r="A257">
        <v>433</v>
      </c>
      <c r="B257" t="s">
        <v>14</v>
      </c>
      <c r="C257" t="s">
        <v>15</v>
      </c>
      <c r="D257">
        <v>61.423264549999999</v>
      </c>
      <c r="E257">
        <v>651.35979750000001</v>
      </c>
      <c r="F257">
        <v>455.48455999999999</v>
      </c>
      <c r="G257">
        <v>216.04382559999999</v>
      </c>
      <c r="H257">
        <v>29.442546060000002</v>
      </c>
      <c r="I257" t="s">
        <v>44</v>
      </c>
      <c r="J257" s="1">
        <v>45359</v>
      </c>
    </row>
    <row r="258" spans="1:10" x14ac:dyDescent="0.3">
      <c r="A258">
        <v>972</v>
      </c>
      <c r="C258" t="s">
        <v>41</v>
      </c>
      <c r="D258">
        <v>41.265903659999999</v>
      </c>
      <c r="E258">
        <v>372.06295039999998</v>
      </c>
      <c r="F258">
        <v>337.50415179999999</v>
      </c>
      <c r="G258">
        <v>250.08267520000001</v>
      </c>
      <c r="H258">
        <v>39.954473159999999</v>
      </c>
      <c r="I258" t="s">
        <v>44</v>
      </c>
      <c r="J258" s="1">
        <v>45898</v>
      </c>
    </row>
    <row r="259" spans="1:10" x14ac:dyDescent="0.3">
      <c r="A259">
        <v>508</v>
      </c>
      <c r="B259" t="s">
        <v>10</v>
      </c>
      <c r="D259">
        <v>49.141067499999998</v>
      </c>
      <c r="E259">
        <v>528.48686429999998</v>
      </c>
      <c r="F259">
        <v>391.85302840000003</v>
      </c>
      <c r="G259">
        <v>223.28866590000001</v>
      </c>
      <c r="H259">
        <v>35.699875570000003</v>
      </c>
      <c r="I259" t="s">
        <v>16</v>
      </c>
      <c r="J259" s="1">
        <v>45434</v>
      </c>
    </row>
    <row r="260" spans="1:10" x14ac:dyDescent="0.3">
      <c r="A260">
        <v>34</v>
      </c>
      <c r="B260" t="s">
        <v>13</v>
      </c>
      <c r="C260" t="s">
        <v>11</v>
      </c>
      <c r="D260">
        <v>43.118403100000002</v>
      </c>
      <c r="E260">
        <v>585.66171050000003</v>
      </c>
      <c r="F260">
        <v>549.86933729999998</v>
      </c>
      <c r="G260">
        <v>158.7007911</v>
      </c>
      <c r="H260">
        <v>36.543583390000002</v>
      </c>
      <c r="I260" t="s">
        <v>16</v>
      </c>
      <c r="J260" s="1">
        <v>44960</v>
      </c>
    </row>
    <row r="261" spans="1:10" x14ac:dyDescent="0.3">
      <c r="A261">
        <v>205</v>
      </c>
      <c r="B261" t="s">
        <v>10</v>
      </c>
      <c r="C261" t="s">
        <v>11</v>
      </c>
      <c r="D261">
        <v>37.068546759999997</v>
      </c>
      <c r="E261">
        <v>539.32692229999998</v>
      </c>
      <c r="F261">
        <v>683.77114879999999</v>
      </c>
      <c r="G261">
        <v>106.9024933</v>
      </c>
      <c r="H261">
        <v>27.776654659999998</v>
      </c>
      <c r="I261" t="s">
        <v>18</v>
      </c>
      <c r="J261" s="1">
        <v>45131</v>
      </c>
    </row>
    <row r="262" spans="1:10" x14ac:dyDescent="0.3">
      <c r="A262">
        <v>890</v>
      </c>
      <c r="B262" t="s">
        <v>12</v>
      </c>
      <c r="C262" t="s">
        <v>19</v>
      </c>
      <c r="D262">
        <v>46.931188509999998</v>
      </c>
      <c r="E262">
        <v>400.39502140000002</v>
      </c>
      <c r="F262">
        <v>544.03775940000003</v>
      </c>
      <c r="G262">
        <v>270.17676660000001</v>
      </c>
      <c r="H262">
        <v>38.853528249999997</v>
      </c>
      <c r="J262" s="1">
        <v>45816</v>
      </c>
    </row>
    <row r="263" spans="1:10" x14ac:dyDescent="0.3">
      <c r="A263">
        <v>589</v>
      </c>
      <c r="B263" t="s">
        <v>42</v>
      </c>
      <c r="C263" t="s">
        <v>15</v>
      </c>
      <c r="D263">
        <v>37.466518069999999</v>
      </c>
      <c r="E263">
        <v>608.59266960000002</v>
      </c>
      <c r="F263">
        <v>432.22295869999999</v>
      </c>
      <c r="G263">
        <v>155.68124299999999</v>
      </c>
      <c r="H263">
        <v>32.307124160000001</v>
      </c>
      <c r="I263" t="s">
        <v>18</v>
      </c>
      <c r="J263" s="1">
        <v>45515</v>
      </c>
    </row>
    <row r="264" spans="1:10" x14ac:dyDescent="0.3">
      <c r="A264">
        <v>731</v>
      </c>
      <c r="B264" t="s">
        <v>42</v>
      </c>
      <c r="D264">
        <v>41.946281730000003</v>
      </c>
      <c r="E264">
        <v>318.79610989999998</v>
      </c>
      <c r="F264">
        <v>362.60133509999997</v>
      </c>
      <c r="G264">
        <v>166.2828523</v>
      </c>
      <c r="H264">
        <v>36.420205029999998</v>
      </c>
      <c r="J264" s="1">
        <v>45657</v>
      </c>
    </row>
    <row r="265" spans="1:10" x14ac:dyDescent="0.3">
      <c r="A265">
        <v>78</v>
      </c>
      <c r="B265" t="s">
        <v>14</v>
      </c>
      <c r="C265" t="s">
        <v>11</v>
      </c>
      <c r="D265">
        <v>44.707017620000002</v>
      </c>
      <c r="E265">
        <v>533.50371250000001</v>
      </c>
      <c r="F265">
        <v>395.21273050000002</v>
      </c>
      <c r="G265">
        <v>183.6688255</v>
      </c>
      <c r="H265">
        <v>30.647698200000001</v>
      </c>
      <c r="I265" t="s">
        <v>16</v>
      </c>
      <c r="J265" s="1">
        <v>45004</v>
      </c>
    </row>
    <row r="266" spans="1:10" x14ac:dyDescent="0.3">
      <c r="A266">
        <v>85</v>
      </c>
      <c r="B266" t="s">
        <v>42</v>
      </c>
      <c r="C266" t="s">
        <v>15</v>
      </c>
      <c r="D266">
        <v>38.721727790000003</v>
      </c>
      <c r="E266">
        <v>389.46466820000001</v>
      </c>
      <c r="F266">
        <v>217.7643783</v>
      </c>
      <c r="G266">
        <v>281.04879829999999</v>
      </c>
      <c r="H266">
        <v>22.030181349999999</v>
      </c>
      <c r="I266" t="s">
        <v>16</v>
      </c>
      <c r="J266" s="1">
        <v>45011</v>
      </c>
    </row>
    <row r="267" spans="1:10" x14ac:dyDescent="0.3">
      <c r="A267">
        <v>306</v>
      </c>
      <c r="B267" t="s">
        <v>10</v>
      </c>
      <c r="C267" t="s">
        <v>41</v>
      </c>
      <c r="D267">
        <v>51.085426759999997</v>
      </c>
      <c r="E267">
        <v>367.4490088</v>
      </c>
      <c r="F267">
        <v>688.17982689999997</v>
      </c>
      <c r="G267">
        <v>137.68679929999999</v>
      </c>
      <c r="H267">
        <v>33.30551389</v>
      </c>
      <c r="J267" s="1">
        <v>45232</v>
      </c>
    </row>
    <row r="268" spans="1:10" x14ac:dyDescent="0.3">
      <c r="A268">
        <v>83</v>
      </c>
      <c r="B268" t="s">
        <v>42</v>
      </c>
      <c r="C268" t="s">
        <v>11</v>
      </c>
      <c r="D268">
        <v>203.33932960000001</v>
      </c>
      <c r="E268">
        <v>1740.4344470000001</v>
      </c>
      <c r="F268">
        <v>454.02573330000001</v>
      </c>
      <c r="G268">
        <v>163.5673793</v>
      </c>
      <c r="H268">
        <v>27.62909471</v>
      </c>
      <c r="I268" t="s">
        <v>16</v>
      </c>
      <c r="J268" s="1">
        <v>45009</v>
      </c>
    </row>
    <row r="269" spans="1:10" x14ac:dyDescent="0.3">
      <c r="A269">
        <v>449</v>
      </c>
      <c r="B269" t="s">
        <v>13</v>
      </c>
      <c r="C269" t="s">
        <v>41</v>
      </c>
      <c r="D269">
        <v>47.710171389999999</v>
      </c>
      <c r="E269">
        <v>519.73272629999997</v>
      </c>
      <c r="F269">
        <v>547.14924740000004</v>
      </c>
      <c r="G269">
        <v>238.83230140000001</v>
      </c>
      <c r="H269">
        <v>28.000089859999999</v>
      </c>
      <c r="I269" t="s">
        <v>18</v>
      </c>
      <c r="J269" s="1">
        <v>45375</v>
      </c>
    </row>
    <row r="270" spans="1:10" x14ac:dyDescent="0.3">
      <c r="A270">
        <v>998</v>
      </c>
      <c r="C270" t="s">
        <v>11</v>
      </c>
      <c r="D270">
        <v>58.731694310000002</v>
      </c>
      <c r="E270">
        <v>559.39267340000004</v>
      </c>
      <c r="F270">
        <v>700.57208500000002</v>
      </c>
      <c r="G270">
        <v>200.03543139999999</v>
      </c>
      <c r="H270">
        <v>27.981223159999999</v>
      </c>
      <c r="I270" t="s">
        <v>40</v>
      </c>
      <c r="J270" s="1">
        <v>45924</v>
      </c>
    </row>
    <row r="271" spans="1:10" x14ac:dyDescent="0.3">
      <c r="A271">
        <v>752</v>
      </c>
      <c r="B271" t="s">
        <v>43</v>
      </c>
      <c r="D271">
        <v>62.570599569999999</v>
      </c>
      <c r="E271">
        <v>514.11692989999995</v>
      </c>
      <c r="F271">
        <v>593.10542740000005</v>
      </c>
      <c r="G271">
        <v>277.81536940000001</v>
      </c>
      <c r="H271">
        <v>40.013413829999998</v>
      </c>
      <c r="I271" t="s">
        <v>40</v>
      </c>
      <c r="J271" s="1">
        <v>45678</v>
      </c>
    </row>
    <row r="272" spans="1:10" x14ac:dyDescent="0.3">
      <c r="A272">
        <v>532</v>
      </c>
      <c r="B272" t="s">
        <v>12</v>
      </c>
      <c r="C272" t="s">
        <v>19</v>
      </c>
      <c r="D272">
        <v>35.994920399999998</v>
      </c>
      <c r="E272">
        <v>450.7641926</v>
      </c>
      <c r="F272">
        <v>616.11537529999998</v>
      </c>
      <c r="G272">
        <v>233.7754999</v>
      </c>
      <c r="H272">
        <v>23.547386360000001</v>
      </c>
      <c r="I272" t="s">
        <v>44</v>
      </c>
      <c r="J272" s="1">
        <v>45458</v>
      </c>
    </row>
    <row r="273" spans="1:10" x14ac:dyDescent="0.3">
      <c r="A273">
        <v>324</v>
      </c>
      <c r="D273">
        <v>37.854565100000002</v>
      </c>
      <c r="F273">
        <v>378.99456650000002</v>
      </c>
      <c r="G273">
        <v>144.4787125</v>
      </c>
      <c r="H273">
        <v>32.312269929999999</v>
      </c>
      <c r="J273" s="1">
        <v>45250</v>
      </c>
    </row>
    <row r="274" spans="1:10" x14ac:dyDescent="0.3">
      <c r="A274">
        <v>496</v>
      </c>
      <c r="B274" t="s">
        <v>42</v>
      </c>
      <c r="C274" t="s">
        <v>19</v>
      </c>
      <c r="D274">
        <v>52.658984799999999</v>
      </c>
      <c r="E274">
        <v>545.25314360000004</v>
      </c>
      <c r="F274">
        <v>414.2200373</v>
      </c>
      <c r="G274">
        <v>114.5672876</v>
      </c>
      <c r="H274">
        <v>31.797679720000001</v>
      </c>
    </row>
    <row r="275" spans="1:10" x14ac:dyDescent="0.3">
      <c r="A275">
        <v>911</v>
      </c>
      <c r="B275" t="s">
        <v>14</v>
      </c>
      <c r="C275" t="s">
        <v>11</v>
      </c>
      <c r="D275">
        <v>58.554600090000001</v>
      </c>
      <c r="E275">
        <v>582.91298270000004</v>
      </c>
      <c r="F275">
        <v>665.43086040000003</v>
      </c>
      <c r="G275">
        <v>71.323787820000007</v>
      </c>
      <c r="H275">
        <v>35.411769370000002</v>
      </c>
      <c r="I275" t="s">
        <v>40</v>
      </c>
      <c r="J275" s="1">
        <v>45837</v>
      </c>
    </row>
    <row r="276" spans="1:10" x14ac:dyDescent="0.3">
      <c r="A276">
        <v>6</v>
      </c>
      <c r="C276" t="s">
        <v>17</v>
      </c>
      <c r="D276">
        <v>46.570241719999999</v>
      </c>
      <c r="E276">
        <v>415.72574100000003</v>
      </c>
      <c r="F276">
        <v>685.52012549999995</v>
      </c>
      <c r="G276">
        <v>195.80363729999999</v>
      </c>
      <c r="H276">
        <v>33.935082850000001</v>
      </c>
      <c r="I276" t="s">
        <v>18</v>
      </c>
      <c r="J276" s="1">
        <v>44932</v>
      </c>
    </row>
    <row r="277" spans="1:10" x14ac:dyDescent="0.3">
      <c r="A277">
        <v>426</v>
      </c>
      <c r="B277" t="s">
        <v>10</v>
      </c>
      <c r="D277">
        <v>41.370946609999997</v>
      </c>
      <c r="E277" t="s">
        <v>46</v>
      </c>
      <c r="F277">
        <v>510.59961010000001</v>
      </c>
      <c r="G277">
        <v>218.48867190000001</v>
      </c>
      <c r="H277">
        <v>23.526474100000001</v>
      </c>
      <c r="I277" t="s">
        <v>40</v>
      </c>
      <c r="J277" s="1">
        <v>45352</v>
      </c>
    </row>
    <row r="278" spans="1:10" x14ac:dyDescent="0.3">
      <c r="A278">
        <v>491</v>
      </c>
      <c r="B278" t="s">
        <v>42</v>
      </c>
      <c r="C278" t="s">
        <v>17</v>
      </c>
      <c r="D278">
        <v>52.104705420000002</v>
      </c>
      <c r="E278">
        <v>670.50141470000005</v>
      </c>
      <c r="F278">
        <v>408.89885220000002</v>
      </c>
      <c r="G278">
        <v>204.78679170000001</v>
      </c>
      <c r="H278">
        <v>22.71659279</v>
      </c>
      <c r="I278" t="s">
        <v>44</v>
      </c>
      <c r="J278" s="1">
        <v>45417</v>
      </c>
    </row>
    <row r="279" spans="1:10" x14ac:dyDescent="0.3">
      <c r="A279">
        <v>98</v>
      </c>
      <c r="B279" t="s">
        <v>42</v>
      </c>
      <c r="C279" t="s">
        <v>41</v>
      </c>
      <c r="D279">
        <v>67.808292129999998</v>
      </c>
      <c r="E279">
        <v>405.2507865</v>
      </c>
      <c r="F279">
        <v>398.47385159999999</v>
      </c>
      <c r="G279">
        <v>201.7312369</v>
      </c>
      <c r="H279">
        <v>34.507482670000002</v>
      </c>
      <c r="I279" t="s">
        <v>18</v>
      </c>
      <c r="J279" s="1">
        <v>45024</v>
      </c>
    </row>
    <row r="280" spans="1:10" x14ac:dyDescent="0.3">
      <c r="A280">
        <v>601</v>
      </c>
      <c r="B280" t="s">
        <v>12</v>
      </c>
      <c r="D280">
        <v>48.07888947</v>
      </c>
      <c r="E280">
        <v>543.34897169999999</v>
      </c>
      <c r="F280">
        <v>373.05378000000002</v>
      </c>
      <c r="G280">
        <v>234.96152900000001</v>
      </c>
      <c r="H280">
        <v>27.4493963</v>
      </c>
      <c r="J280" s="1">
        <v>45527</v>
      </c>
    </row>
    <row r="281" spans="1:10" x14ac:dyDescent="0.3">
      <c r="A281">
        <v>423</v>
      </c>
      <c r="B281" t="s">
        <v>43</v>
      </c>
      <c r="C281" t="s">
        <v>15</v>
      </c>
      <c r="D281">
        <v>38.069400450000003</v>
      </c>
      <c r="E281">
        <v>381.4537646</v>
      </c>
      <c r="F281">
        <v>489.69499560000003</v>
      </c>
      <c r="G281">
        <v>228.79522180000001</v>
      </c>
      <c r="H281">
        <v>28.819479950000002</v>
      </c>
      <c r="I281" t="s">
        <v>44</v>
      </c>
      <c r="J281" s="1">
        <v>45349</v>
      </c>
    </row>
    <row r="282" spans="1:10" x14ac:dyDescent="0.3">
      <c r="A282">
        <v>886</v>
      </c>
      <c r="B282" t="s">
        <v>14</v>
      </c>
      <c r="C282" t="s">
        <v>41</v>
      </c>
      <c r="D282">
        <v>53.428151620000001</v>
      </c>
      <c r="E282">
        <v>480.91586810000001</v>
      </c>
      <c r="F282">
        <v>680.86819060000005</v>
      </c>
      <c r="G282">
        <v>155.90516890000001</v>
      </c>
      <c r="H282">
        <v>31.455034309999998</v>
      </c>
      <c r="I282" t="s">
        <v>40</v>
      </c>
      <c r="J282" s="1">
        <v>45812</v>
      </c>
    </row>
    <row r="283" spans="1:10" x14ac:dyDescent="0.3">
      <c r="A283">
        <v>282</v>
      </c>
      <c r="B283" t="s">
        <v>42</v>
      </c>
      <c r="D283">
        <v>52.677512239999999</v>
      </c>
      <c r="E283">
        <v>440.77334689999998</v>
      </c>
      <c r="F283">
        <v>489.25737429999998</v>
      </c>
      <c r="G283">
        <v>275.50553400000001</v>
      </c>
      <c r="H283">
        <v>30.846875260000001</v>
      </c>
      <c r="J283" s="1">
        <v>45208</v>
      </c>
    </row>
    <row r="284" spans="1:10" x14ac:dyDescent="0.3">
      <c r="A284">
        <v>267</v>
      </c>
      <c r="B284" t="s">
        <v>14</v>
      </c>
      <c r="C284" t="s">
        <v>15</v>
      </c>
      <c r="D284">
        <v>58.029016179999999</v>
      </c>
      <c r="E284">
        <v>484.61739729999999</v>
      </c>
      <c r="F284">
        <v>445.65976360000002</v>
      </c>
      <c r="G284">
        <v>141.19899340000001</v>
      </c>
      <c r="H284">
        <v>33.621772559999997</v>
      </c>
      <c r="I284" t="s">
        <v>44</v>
      </c>
      <c r="J284" s="1">
        <v>45193</v>
      </c>
    </row>
    <row r="285" spans="1:10" x14ac:dyDescent="0.3">
      <c r="A285">
        <v>443</v>
      </c>
      <c r="B285" t="s">
        <v>12</v>
      </c>
      <c r="C285" t="s">
        <v>11</v>
      </c>
      <c r="D285">
        <v>43.595065650000002</v>
      </c>
      <c r="E285">
        <v>594.84463500000004</v>
      </c>
      <c r="F285">
        <v>474.49664890000003</v>
      </c>
      <c r="G285">
        <v>254.08608469999999</v>
      </c>
      <c r="H285">
        <v>33.298498850000001</v>
      </c>
      <c r="J285" s="1">
        <v>45369</v>
      </c>
    </row>
    <row r="286" spans="1:10" x14ac:dyDescent="0.3">
      <c r="A286">
        <v>746</v>
      </c>
      <c r="B286" t="s">
        <v>10</v>
      </c>
      <c r="C286" t="s">
        <v>41</v>
      </c>
      <c r="D286">
        <v>41.601191030000003</v>
      </c>
      <c r="E286">
        <v>444.68078170000001</v>
      </c>
      <c r="F286">
        <v>448.29947879999997</v>
      </c>
      <c r="G286">
        <v>168.72096809999999</v>
      </c>
      <c r="H286">
        <v>37.118770380000001</v>
      </c>
      <c r="J286" s="1">
        <v>45672</v>
      </c>
    </row>
    <row r="287" spans="1:10" x14ac:dyDescent="0.3">
      <c r="A287">
        <v>383</v>
      </c>
      <c r="D287">
        <v>55.401127119999998</v>
      </c>
      <c r="E287">
        <v>577.41314620000003</v>
      </c>
      <c r="F287">
        <v>435.09836689999997</v>
      </c>
      <c r="G287">
        <v>101.7035503</v>
      </c>
      <c r="H287">
        <v>20.922291850000001</v>
      </c>
      <c r="J287" s="1">
        <v>45309</v>
      </c>
    </row>
    <row r="288" spans="1:10" x14ac:dyDescent="0.3">
      <c r="A288">
        <v>693</v>
      </c>
      <c r="B288" t="s">
        <v>42</v>
      </c>
      <c r="C288" t="s">
        <v>17</v>
      </c>
      <c r="D288">
        <v>31.692315520000001</v>
      </c>
      <c r="E288">
        <v>509.83101920000001</v>
      </c>
      <c r="F288">
        <v>343.87243410000002</v>
      </c>
      <c r="G288">
        <v>188.32437709999999</v>
      </c>
      <c r="H288">
        <v>36.666936499999998</v>
      </c>
      <c r="I288" t="s">
        <v>44</v>
      </c>
      <c r="J288" s="1">
        <v>45619</v>
      </c>
    </row>
    <row r="289" spans="1:10" x14ac:dyDescent="0.3">
      <c r="A289">
        <v>894</v>
      </c>
      <c r="C289" t="s">
        <v>15</v>
      </c>
      <c r="D289">
        <v>48.316917660000001</v>
      </c>
      <c r="E289">
        <v>415.51015469999999</v>
      </c>
      <c r="F289">
        <v>576.12971570000002</v>
      </c>
      <c r="G289">
        <v>219.6481876</v>
      </c>
      <c r="H289">
        <v>24.471872489999999</v>
      </c>
      <c r="J289" s="1">
        <v>45820</v>
      </c>
    </row>
    <row r="290" spans="1:10" x14ac:dyDescent="0.3">
      <c r="A290">
        <v>535</v>
      </c>
      <c r="B290" t="s">
        <v>43</v>
      </c>
      <c r="C290" t="s">
        <v>15</v>
      </c>
      <c r="D290">
        <v>44.853584509999997</v>
      </c>
      <c r="E290">
        <v>513.57185909999998</v>
      </c>
      <c r="F290">
        <v>554.48970659999998</v>
      </c>
      <c r="G290">
        <v>273.34366449999999</v>
      </c>
      <c r="H290">
        <v>35.920905079999997</v>
      </c>
      <c r="J290" s="1">
        <v>45461</v>
      </c>
    </row>
    <row r="291" spans="1:10" x14ac:dyDescent="0.3">
      <c r="A291">
        <v>119</v>
      </c>
      <c r="D291">
        <v>53.742800559999999</v>
      </c>
      <c r="E291">
        <v>552.22436809999999</v>
      </c>
      <c r="F291">
        <v>498.22531320000002</v>
      </c>
      <c r="H291">
        <v>28.371347719999999</v>
      </c>
      <c r="I291" t="s">
        <v>16</v>
      </c>
      <c r="J291" s="1">
        <v>45045</v>
      </c>
    </row>
    <row r="292" spans="1:10" x14ac:dyDescent="0.3">
      <c r="A292">
        <v>389</v>
      </c>
      <c r="B292" t="s">
        <v>43</v>
      </c>
      <c r="C292" t="s">
        <v>19</v>
      </c>
      <c r="D292">
        <v>44.363509729999997</v>
      </c>
      <c r="E292">
        <v>476.20564530000001</v>
      </c>
      <c r="F292">
        <v>651.10736999999995</v>
      </c>
      <c r="G292">
        <v>145.01763529999999</v>
      </c>
      <c r="H292">
        <v>28.514713960000002</v>
      </c>
      <c r="I292" t="s">
        <v>40</v>
      </c>
      <c r="J292" s="1">
        <v>45315</v>
      </c>
    </row>
    <row r="293" spans="1:10" x14ac:dyDescent="0.3">
      <c r="A293">
        <v>251</v>
      </c>
      <c r="C293" t="s">
        <v>41</v>
      </c>
      <c r="D293">
        <v>44.21036745</v>
      </c>
      <c r="E293">
        <v>403.85116299999999</v>
      </c>
      <c r="F293">
        <v>588.19480510000005</v>
      </c>
      <c r="G293">
        <v>114.7565699</v>
      </c>
      <c r="H293">
        <v>28.859859849999999</v>
      </c>
      <c r="I293" t="s">
        <v>16</v>
      </c>
      <c r="J293" s="1">
        <v>45177</v>
      </c>
    </row>
    <row r="294" spans="1:10" x14ac:dyDescent="0.3">
      <c r="A294">
        <v>944</v>
      </c>
      <c r="B294" t="s">
        <v>10</v>
      </c>
      <c r="C294" t="s">
        <v>11</v>
      </c>
      <c r="D294">
        <v>62.724874470000003</v>
      </c>
      <c r="E294">
        <v>451.28419769999999</v>
      </c>
      <c r="F294">
        <v>548.5690065</v>
      </c>
      <c r="G294">
        <v>212.71707549999999</v>
      </c>
      <c r="H294">
        <v>28.095934840000002</v>
      </c>
      <c r="I294" t="s">
        <v>40</v>
      </c>
      <c r="J294" s="1">
        <v>45870</v>
      </c>
    </row>
    <row r="295" spans="1:10" x14ac:dyDescent="0.3">
      <c r="A295">
        <v>454</v>
      </c>
      <c r="B295" t="s">
        <v>14</v>
      </c>
      <c r="D295">
        <v>62.988113249999998</v>
      </c>
      <c r="E295">
        <v>601.36757409999996</v>
      </c>
      <c r="F295">
        <v>543.80938600000002</v>
      </c>
      <c r="G295">
        <v>202.17927990000001</v>
      </c>
      <c r="H295">
        <v>23.50181165</v>
      </c>
      <c r="I295" t="s">
        <v>40</v>
      </c>
      <c r="J295" s="1">
        <v>45380</v>
      </c>
    </row>
    <row r="296" spans="1:10" x14ac:dyDescent="0.3">
      <c r="A296">
        <v>10</v>
      </c>
      <c r="B296" t="s">
        <v>13</v>
      </c>
      <c r="C296" t="s">
        <v>19</v>
      </c>
      <c r="D296">
        <v>47.699435639999997</v>
      </c>
      <c r="E296">
        <v>258.02547529999998</v>
      </c>
      <c r="F296">
        <v>285.02424120000001</v>
      </c>
      <c r="G296">
        <v>209.6660162</v>
      </c>
      <c r="H296">
        <v>27.718484839999999</v>
      </c>
      <c r="I296" t="s">
        <v>40</v>
      </c>
      <c r="J296" s="1">
        <v>44936</v>
      </c>
    </row>
    <row r="297" spans="1:10" x14ac:dyDescent="0.3">
      <c r="A297">
        <v>197</v>
      </c>
      <c r="B297" t="s">
        <v>10</v>
      </c>
      <c r="D297">
        <v>51.20499959</v>
      </c>
      <c r="E297">
        <v>553.70908329999997</v>
      </c>
      <c r="F297">
        <v>510.26008209999998</v>
      </c>
      <c r="G297">
        <v>161.70950099999999</v>
      </c>
      <c r="H297">
        <v>28.314712570000001</v>
      </c>
      <c r="J297" s="1">
        <v>45123</v>
      </c>
    </row>
    <row r="298" spans="1:10" x14ac:dyDescent="0.3">
      <c r="A298">
        <v>619</v>
      </c>
      <c r="B298" t="s">
        <v>14</v>
      </c>
      <c r="C298" t="s">
        <v>11</v>
      </c>
      <c r="E298">
        <v>291.41841410000001</v>
      </c>
      <c r="F298">
        <v>404.47774800000002</v>
      </c>
      <c r="G298">
        <v>177.5598099</v>
      </c>
      <c r="H298">
        <v>31.991104759999999</v>
      </c>
      <c r="J298" s="1">
        <v>45545</v>
      </c>
    </row>
    <row r="299" spans="1:10" x14ac:dyDescent="0.3">
      <c r="A299">
        <v>82</v>
      </c>
      <c r="B299" t="s">
        <v>12</v>
      </c>
      <c r="C299" t="s">
        <v>41</v>
      </c>
      <c r="D299">
        <v>49.033710929999998</v>
      </c>
      <c r="E299">
        <v>370.96355149999999</v>
      </c>
      <c r="F299">
        <v>538.48967119999998</v>
      </c>
      <c r="G299">
        <v>249.76056109999999</v>
      </c>
      <c r="H299">
        <v>29.686920910000001</v>
      </c>
      <c r="I299" t="s">
        <v>40</v>
      </c>
      <c r="J299" s="1">
        <v>45008</v>
      </c>
    </row>
    <row r="300" spans="1:10" x14ac:dyDescent="0.3">
      <c r="A300">
        <v>399</v>
      </c>
      <c r="C300" t="s">
        <v>41</v>
      </c>
      <c r="D300">
        <v>52.351548829999999</v>
      </c>
      <c r="E300">
        <v>435.06083059999997</v>
      </c>
      <c r="F300">
        <v>329.91647239999998</v>
      </c>
      <c r="G300">
        <v>292.94888470000001</v>
      </c>
      <c r="H300">
        <v>28.740134059999999</v>
      </c>
      <c r="I300" t="s">
        <v>44</v>
      </c>
      <c r="J300" s="1">
        <v>45325</v>
      </c>
    </row>
    <row r="301" spans="1:10" x14ac:dyDescent="0.3">
      <c r="A301">
        <v>502</v>
      </c>
      <c r="B301" t="s">
        <v>42</v>
      </c>
      <c r="C301" t="s">
        <v>15</v>
      </c>
      <c r="D301" t="s">
        <v>45</v>
      </c>
      <c r="E301">
        <v>671.19371960000001</v>
      </c>
      <c r="F301">
        <v>439.35703919999997</v>
      </c>
      <c r="G301">
        <v>231.499042</v>
      </c>
      <c r="H301">
        <v>24.368808959999999</v>
      </c>
      <c r="I301" t="s">
        <v>44</v>
      </c>
      <c r="J301" s="1">
        <v>45428</v>
      </c>
    </row>
    <row r="302" spans="1:10" x14ac:dyDescent="0.3">
      <c r="A302">
        <v>635</v>
      </c>
      <c r="B302" t="s">
        <v>42</v>
      </c>
      <c r="C302" t="s">
        <v>17</v>
      </c>
      <c r="E302">
        <v>480.60505999999998</v>
      </c>
      <c r="F302">
        <v>708.39512249999996</v>
      </c>
      <c r="G302">
        <v>161.52188090000001</v>
      </c>
      <c r="H302">
        <v>31.48519735</v>
      </c>
      <c r="I302" t="s">
        <v>40</v>
      </c>
      <c r="J302" s="1">
        <v>45561</v>
      </c>
    </row>
    <row r="303" spans="1:10" x14ac:dyDescent="0.3">
      <c r="A303">
        <v>240</v>
      </c>
      <c r="B303" t="s">
        <v>13</v>
      </c>
      <c r="C303" t="s">
        <v>15</v>
      </c>
      <c r="D303">
        <v>34.131882840000003</v>
      </c>
      <c r="E303">
        <v>338.26370500000002</v>
      </c>
      <c r="F303">
        <v>505.16559590000003</v>
      </c>
      <c r="G303">
        <v>228.0533542</v>
      </c>
      <c r="H303">
        <v>20.024597669999999</v>
      </c>
      <c r="I303" t="s">
        <v>18</v>
      </c>
      <c r="J303" s="1">
        <v>45166</v>
      </c>
    </row>
    <row r="304" spans="1:10" x14ac:dyDescent="0.3">
      <c r="A304">
        <v>310</v>
      </c>
      <c r="B304" t="s">
        <v>14</v>
      </c>
      <c r="C304" t="s">
        <v>11</v>
      </c>
      <c r="D304">
        <v>37.665318990000003</v>
      </c>
      <c r="E304">
        <v>544.38802299999998</v>
      </c>
      <c r="F304">
        <v>565.04624079999996</v>
      </c>
      <c r="G304">
        <v>213.55535169999999</v>
      </c>
      <c r="H304">
        <v>26.624562109999999</v>
      </c>
      <c r="I304" t="s">
        <v>16</v>
      </c>
      <c r="J304" s="1">
        <v>45236</v>
      </c>
    </row>
    <row r="305" spans="1:10" x14ac:dyDescent="0.3">
      <c r="A305">
        <v>212</v>
      </c>
      <c r="B305" t="s">
        <v>13</v>
      </c>
      <c r="C305" t="s">
        <v>15</v>
      </c>
      <c r="D305">
        <v>43.170076700000003</v>
      </c>
      <c r="E305">
        <v>584.85620340000003</v>
      </c>
      <c r="F305">
        <v>440.9295171</v>
      </c>
      <c r="G305">
        <v>163.94749849999999</v>
      </c>
      <c r="H305">
        <v>35.992663139999998</v>
      </c>
      <c r="I305" t="s">
        <v>18</v>
      </c>
      <c r="J305" s="1">
        <v>45138</v>
      </c>
    </row>
    <row r="306" spans="1:10" x14ac:dyDescent="0.3">
      <c r="A306">
        <v>835</v>
      </c>
      <c r="B306" t="s">
        <v>14</v>
      </c>
      <c r="C306" t="s">
        <v>17</v>
      </c>
      <c r="D306">
        <v>39.85581123</v>
      </c>
      <c r="E306">
        <v>523.64178619999996</v>
      </c>
      <c r="F306">
        <v>455.64990440000003</v>
      </c>
      <c r="G306">
        <v>163.33656579999999</v>
      </c>
      <c r="H306">
        <v>22.94600153</v>
      </c>
      <c r="I306" t="s">
        <v>16</v>
      </c>
      <c r="J306" s="1">
        <v>45761</v>
      </c>
    </row>
    <row r="307" spans="1:10" x14ac:dyDescent="0.3">
      <c r="A307">
        <v>381</v>
      </c>
      <c r="B307" t="s">
        <v>13</v>
      </c>
      <c r="C307" t="s">
        <v>11</v>
      </c>
      <c r="D307">
        <v>52.83299418</v>
      </c>
      <c r="E307">
        <v>493.97110090000001</v>
      </c>
      <c r="F307">
        <v>236.94982999999999</v>
      </c>
      <c r="G307">
        <v>216.21293979999999</v>
      </c>
      <c r="H307">
        <v>21.952395079999999</v>
      </c>
      <c r="I307" t="s">
        <v>16</v>
      </c>
      <c r="J307" s="1">
        <v>45307</v>
      </c>
    </row>
    <row r="308" spans="1:10" x14ac:dyDescent="0.3">
      <c r="A308">
        <v>602</v>
      </c>
      <c r="B308" t="s">
        <v>13</v>
      </c>
      <c r="D308">
        <v>63.904997809999998</v>
      </c>
      <c r="E308">
        <v>419.3932441</v>
      </c>
      <c r="F308">
        <v>472.57918990000002</v>
      </c>
      <c r="G308">
        <v>139.16703939999999</v>
      </c>
      <c r="H308">
        <v>33.647596749999998</v>
      </c>
      <c r="I308" t="s">
        <v>44</v>
      </c>
      <c r="J308" s="1">
        <v>45528</v>
      </c>
    </row>
    <row r="309" spans="1:10" x14ac:dyDescent="0.3">
      <c r="A309">
        <v>228</v>
      </c>
      <c r="B309" t="s">
        <v>13</v>
      </c>
      <c r="C309" t="s">
        <v>15</v>
      </c>
      <c r="D309">
        <v>55.530732759999999</v>
      </c>
      <c r="E309">
        <v>438.23633910000001</v>
      </c>
      <c r="F309">
        <v>455.24222359999999</v>
      </c>
      <c r="G309">
        <v>296.71942639999997</v>
      </c>
      <c r="H309">
        <v>33.251111969999997</v>
      </c>
      <c r="I309" t="s">
        <v>16</v>
      </c>
      <c r="J309" s="1">
        <v>45154</v>
      </c>
    </row>
    <row r="310" spans="1:10" x14ac:dyDescent="0.3">
      <c r="A310">
        <v>874</v>
      </c>
      <c r="B310" t="s">
        <v>43</v>
      </c>
      <c r="C310" t="s">
        <v>15</v>
      </c>
      <c r="D310">
        <v>43.471032280000003</v>
      </c>
      <c r="E310">
        <v>566.07233940000003</v>
      </c>
      <c r="F310">
        <v>347.042035</v>
      </c>
      <c r="G310">
        <v>264.106787</v>
      </c>
      <c r="H310">
        <v>25.8956999</v>
      </c>
      <c r="I310" t="s">
        <v>16</v>
      </c>
      <c r="J310" s="1">
        <v>45800</v>
      </c>
    </row>
    <row r="311" spans="1:10" x14ac:dyDescent="0.3">
      <c r="A311">
        <v>360</v>
      </c>
      <c r="B311" t="s">
        <v>12</v>
      </c>
      <c r="C311" t="s">
        <v>11</v>
      </c>
      <c r="D311">
        <v>46.46983943</v>
      </c>
      <c r="E311">
        <v>599.55324689999998</v>
      </c>
      <c r="F311">
        <v>402.9366417</v>
      </c>
      <c r="G311">
        <v>191.55173970000001</v>
      </c>
      <c r="H311">
        <v>31.287874850000001</v>
      </c>
      <c r="I311" t="s">
        <v>44</v>
      </c>
      <c r="J311" s="1">
        <v>45286</v>
      </c>
    </row>
    <row r="312" spans="1:10" x14ac:dyDescent="0.3">
      <c r="A312">
        <v>814</v>
      </c>
      <c r="B312" t="s">
        <v>43</v>
      </c>
      <c r="C312" t="s">
        <v>15</v>
      </c>
      <c r="D312">
        <v>43.506686879999997</v>
      </c>
      <c r="E312">
        <v>429.51315460000001</v>
      </c>
      <c r="F312">
        <v>320.90474740000002</v>
      </c>
      <c r="G312">
        <v>213.273133</v>
      </c>
      <c r="H312">
        <v>28.953416919999999</v>
      </c>
      <c r="I312" t="s">
        <v>16</v>
      </c>
      <c r="J312" s="1">
        <v>45740</v>
      </c>
    </row>
    <row r="313" spans="1:10" x14ac:dyDescent="0.3">
      <c r="A313">
        <v>178</v>
      </c>
      <c r="C313" t="s">
        <v>17</v>
      </c>
      <c r="D313">
        <v>56.684079609999998</v>
      </c>
      <c r="E313">
        <v>519.22347639999998</v>
      </c>
      <c r="F313">
        <v>573.60843569999997</v>
      </c>
      <c r="G313">
        <v>250.0010858</v>
      </c>
      <c r="H313">
        <v>25.023516529999998</v>
      </c>
      <c r="I313" t="s">
        <v>16</v>
      </c>
      <c r="J313" s="1">
        <v>45104</v>
      </c>
    </row>
    <row r="314" spans="1:10" x14ac:dyDescent="0.3">
      <c r="A314">
        <v>995</v>
      </c>
      <c r="B314" t="s">
        <v>14</v>
      </c>
      <c r="C314" t="s">
        <v>15</v>
      </c>
      <c r="D314">
        <v>46.382369310000001</v>
      </c>
      <c r="E314">
        <v>329.26155169999998</v>
      </c>
      <c r="F314">
        <v>335.01854120000002</v>
      </c>
      <c r="G314">
        <v>190.806535</v>
      </c>
      <c r="H314">
        <v>28.25074128</v>
      </c>
      <c r="J314" s="1">
        <v>45921</v>
      </c>
    </row>
    <row r="315" spans="1:10" x14ac:dyDescent="0.3">
      <c r="A315">
        <v>757</v>
      </c>
      <c r="B315" t="s">
        <v>12</v>
      </c>
      <c r="D315">
        <v>50.379504359999999</v>
      </c>
      <c r="E315" t="s">
        <v>46</v>
      </c>
      <c r="F315">
        <v>505.77918069999998</v>
      </c>
      <c r="G315">
        <v>176.83804319999999</v>
      </c>
      <c r="H315">
        <v>33.145875459999999</v>
      </c>
      <c r="I315" t="s">
        <v>40</v>
      </c>
      <c r="J315" s="1">
        <v>45683</v>
      </c>
    </row>
    <row r="316" spans="1:10" x14ac:dyDescent="0.3">
      <c r="A316">
        <v>494</v>
      </c>
      <c r="B316" t="s">
        <v>12</v>
      </c>
      <c r="C316" t="s">
        <v>11</v>
      </c>
      <c r="D316">
        <v>59.1300022</v>
      </c>
      <c r="E316">
        <v>599.70937549999996</v>
      </c>
      <c r="F316">
        <v>454.77997110000001</v>
      </c>
      <c r="G316">
        <v>249.6464885</v>
      </c>
      <c r="H316">
        <v>33.966746620000002</v>
      </c>
      <c r="I316" t="s">
        <v>16</v>
      </c>
      <c r="J316" s="1">
        <v>45420</v>
      </c>
    </row>
    <row r="317" spans="1:10" x14ac:dyDescent="0.3">
      <c r="A317">
        <v>335</v>
      </c>
      <c r="B317" t="s">
        <v>43</v>
      </c>
      <c r="C317" t="s">
        <v>19</v>
      </c>
      <c r="D317">
        <v>55.037360460000002</v>
      </c>
      <c r="E317">
        <v>393.7702845</v>
      </c>
      <c r="F317">
        <v>412.56645029999999</v>
      </c>
      <c r="G317">
        <v>177.8788505</v>
      </c>
      <c r="H317">
        <v>32.573357770000001</v>
      </c>
      <c r="I317" t="s">
        <v>44</v>
      </c>
      <c r="J317" s="1">
        <v>45261</v>
      </c>
    </row>
    <row r="318" spans="1:10" x14ac:dyDescent="0.3">
      <c r="A318">
        <v>893</v>
      </c>
      <c r="B318" t="s">
        <v>43</v>
      </c>
      <c r="C318" t="s">
        <v>11</v>
      </c>
      <c r="D318">
        <v>111.3872502</v>
      </c>
      <c r="E318">
        <v>511.61730840000001</v>
      </c>
      <c r="F318">
        <v>440.64696959999998</v>
      </c>
      <c r="G318">
        <v>214.79939519999999</v>
      </c>
      <c r="H318">
        <v>33.311016670000001</v>
      </c>
      <c r="J318" s="1">
        <v>45819</v>
      </c>
    </row>
    <row r="319" spans="1:10" x14ac:dyDescent="0.3">
      <c r="A319">
        <v>8</v>
      </c>
      <c r="C319" t="s">
        <v>19</v>
      </c>
      <c r="D319">
        <v>49.710751160000001</v>
      </c>
      <c r="E319">
        <v>427.47310220000003</v>
      </c>
      <c r="F319">
        <v>257.92420299999998</v>
      </c>
      <c r="G319">
        <v>208.4922349</v>
      </c>
      <c r="H319">
        <v>27.982811510000001</v>
      </c>
      <c r="I319" t="s">
        <v>18</v>
      </c>
      <c r="J319" s="1">
        <v>44934</v>
      </c>
    </row>
    <row r="320" spans="1:10" x14ac:dyDescent="0.3">
      <c r="A320">
        <v>156</v>
      </c>
      <c r="B320" t="s">
        <v>13</v>
      </c>
      <c r="C320" t="s">
        <v>17</v>
      </c>
      <c r="D320">
        <v>60.858663419999999</v>
      </c>
      <c r="E320">
        <v>485.17771219999997</v>
      </c>
      <c r="F320">
        <v>521.32269229999997</v>
      </c>
      <c r="G320">
        <v>145.53250019999999</v>
      </c>
      <c r="H320">
        <v>28.614734500000001</v>
      </c>
      <c r="I320" t="s">
        <v>44</v>
      </c>
      <c r="J320" s="1">
        <v>45082</v>
      </c>
    </row>
    <row r="321" spans="1:10" x14ac:dyDescent="0.3">
      <c r="A321">
        <v>843</v>
      </c>
      <c r="B321" t="s">
        <v>42</v>
      </c>
      <c r="C321" t="s">
        <v>17</v>
      </c>
      <c r="D321">
        <v>64.79078973</v>
      </c>
      <c r="E321">
        <v>311.42330809999999</v>
      </c>
      <c r="F321">
        <v>591.92923299999995</v>
      </c>
      <c r="G321">
        <v>307.47766319999999</v>
      </c>
      <c r="H321">
        <v>37.99213228</v>
      </c>
      <c r="I321" t="s">
        <v>16</v>
      </c>
    </row>
    <row r="322" spans="1:10" x14ac:dyDescent="0.3">
      <c r="A322">
        <v>751</v>
      </c>
      <c r="B322" t="s">
        <v>42</v>
      </c>
      <c r="C322" t="s">
        <v>11</v>
      </c>
      <c r="D322" t="s">
        <v>45</v>
      </c>
      <c r="F322">
        <v>153.3266711</v>
      </c>
      <c r="G322">
        <v>195.3847303</v>
      </c>
      <c r="H322">
        <v>35.896296669999998</v>
      </c>
      <c r="J322" s="1">
        <v>45677</v>
      </c>
    </row>
    <row r="323" spans="1:10" x14ac:dyDescent="0.3">
      <c r="A323">
        <v>942</v>
      </c>
      <c r="B323" t="s">
        <v>43</v>
      </c>
      <c r="C323" t="s">
        <v>15</v>
      </c>
      <c r="D323">
        <v>38.16593812</v>
      </c>
      <c r="E323">
        <v>445.3740962</v>
      </c>
      <c r="F323">
        <v>413.36303340000001</v>
      </c>
      <c r="G323">
        <v>191.30267889999999</v>
      </c>
      <c r="H323">
        <v>22.764132029999999</v>
      </c>
      <c r="I323" t="s">
        <v>44</v>
      </c>
      <c r="J323" s="1">
        <v>45868</v>
      </c>
    </row>
    <row r="324" spans="1:10" x14ac:dyDescent="0.3">
      <c r="A324">
        <v>483</v>
      </c>
      <c r="B324" t="s">
        <v>12</v>
      </c>
      <c r="D324">
        <v>44.05223745</v>
      </c>
      <c r="E324">
        <v>656.82397590000005</v>
      </c>
      <c r="F324">
        <v>318.71464459999999</v>
      </c>
      <c r="G324">
        <v>210.02257520000001</v>
      </c>
      <c r="H324">
        <v>33.418547680000003</v>
      </c>
      <c r="I324" t="s">
        <v>40</v>
      </c>
      <c r="J324" s="1">
        <v>45409</v>
      </c>
    </row>
    <row r="325" spans="1:10" x14ac:dyDescent="0.3">
      <c r="A325">
        <v>847</v>
      </c>
      <c r="B325" t="s">
        <v>13</v>
      </c>
      <c r="C325" t="s">
        <v>11</v>
      </c>
      <c r="D325">
        <v>48.944699479999997</v>
      </c>
      <c r="E325">
        <v>554.18420890000004</v>
      </c>
      <c r="F325">
        <v>418.51137419999998</v>
      </c>
      <c r="G325">
        <v>195.03998240000001</v>
      </c>
      <c r="H325">
        <v>28.352481000000001</v>
      </c>
      <c r="I325" t="s">
        <v>40</v>
      </c>
      <c r="J325" s="1">
        <v>45773</v>
      </c>
    </row>
    <row r="326" spans="1:10" x14ac:dyDescent="0.3">
      <c r="A326">
        <v>750</v>
      </c>
      <c r="C326" t="s">
        <v>17</v>
      </c>
      <c r="D326">
        <v>135.09066809999999</v>
      </c>
      <c r="E326">
        <v>556.04813990000002</v>
      </c>
      <c r="F326">
        <v>329.60452470000001</v>
      </c>
      <c r="G326">
        <v>229.41227230000001</v>
      </c>
      <c r="H326">
        <v>30.152682469999998</v>
      </c>
      <c r="I326" t="s">
        <v>18</v>
      </c>
      <c r="J326" s="1">
        <v>45676</v>
      </c>
    </row>
    <row r="327" spans="1:10" x14ac:dyDescent="0.3">
      <c r="A327">
        <v>904</v>
      </c>
      <c r="C327" t="s">
        <v>11</v>
      </c>
      <c r="D327">
        <v>94.099605359999998</v>
      </c>
      <c r="E327">
        <v>537.52169570000001</v>
      </c>
      <c r="F327">
        <v>474.54420290000002</v>
      </c>
      <c r="G327">
        <v>220.77753709999999</v>
      </c>
      <c r="H327">
        <v>33.138056059999997</v>
      </c>
      <c r="J327" s="1">
        <v>45830</v>
      </c>
    </row>
    <row r="328" spans="1:10" x14ac:dyDescent="0.3">
      <c r="A328">
        <v>592</v>
      </c>
      <c r="B328" t="s">
        <v>12</v>
      </c>
      <c r="C328" t="s">
        <v>41</v>
      </c>
      <c r="E328">
        <v>370.28313780000002</v>
      </c>
      <c r="F328">
        <v>303.09152649999999</v>
      </c>
      <c r="G328">
        <v>188.1132461</v>
      </c>
      <c r="H328">
        <v>29.958189440000002</v>
      </c>
      <c r="I328" t="s">
        <v>44</v>
      </c>
      <c r="J328" s="1">
        <v>45518</v>
      </c>
    </row>
    <row r="329" spans="1:10" x14ac:dyDescent="0.3">
      <c r="A329">
        <v>953</v>
      </c>
      <c r="B329" t="s">
        <v>12</v>
      </c>
      <c r="C329" t="s">
        <v>17</v>
      </c>
      <c r="D329">
        <v>39.01854522</v>
      </c>
      <c r="E329">
        <v>436.00081829999999</v>
      </c>
      <c r="F329">
        <v>390.96198859999998</v>
      </c>
      <c r="G329">
        <v>178.40003110000001</v>
      </c>
      <c r="H329">
        <v>20.050922409999998</v>
      </c>
      <c r="I329" t="s">
        <v>16</v>
      </c>
    </row>
    <row r="330" spans="1:10" x14ac:dyDescent="0.3">
      <c r="A330">
        <v>581</v>
      </c>
      <c r="B330" t="s">
        <v>10</v>
      </c>
      <c r="C330" t="s">
        <v>11</v>
      </c>
      <c r="D330">
        <v>68.618057840000006</v>
      </c>
      <c r="E330">
        <v>426.30138199999999</v>
      </c>
      <c r="F330">
        <v>285.43270130000002</v>
      </c>
      <c r="G330">
        <v>276.17626560000002</v>
      </c>
      <c r="H330">
        <v>30.09602984</v>
      </c>
      <c r="I330" t="s">
        <v>18</v>
      </c>
      <c r="J330" s="1">
        <v>45507</v>
      </c>
    </row>
    <row r="331" spans="1:10" x14ac:dyDescent="0.3">
      <c r="A331">
        <v>440</v>
      </c>
      <c r="D331">
        <v>62.144791339999998</v>
      </c>
      <c r="E331">
        <v>433.7215521</v>
      </c>
      <c r="F331">
        <v>500.70602300000002</v>
      </c>
      <c r="G331">
        <v>156.41146560000001</v>
      </c>
      <c r="H331">
        <v>30.09540814</v>
      </c>
      <c r="I331" t="s">
        <v>18</v>
      </c>
      <c r="J331" s="1">
        <v>45366</v>
      </c>
    </row>
    <row r="332" spans="1:10" x14ac:dyDescent="0.3">
      <c r="A332">
        <v>543</v>
      </c>
      <c r="B332" t="s">
        <v>43</v>
      </c>
      <c r="C332" t="s">
        <v>41</v>
      </c>
      <c r="D332">
        <v>41.828145329999998</v>
      </c>
      <c r="E332">
        <v>285.51972970000003</v>
      </c>
      <c r="G332">
        <v>243.42549339999999</v>
      </c>
      <c r="H332">
        <v>37.036150059999997</v>
      </c>
      <c r="I332" t="s">
        <v>40</v>
      </c>
      <c r="J332" s="1">
        <v>45469</v>
      </c>
    </row>
    <row r="333" spans="1:10" x14ac:dyDescent="0.3">
      <c r="A333">
        <v>597</v>
      </c>
      <c r="B333" t="s">
        <v>12</v>
      </c>
      <c r="C333" t="s">
        <v>15</v>
      </c>
      <c r="D333">
        <v>301.64819740000002</v>
      </c>
      <c r="E333">
        <v>2100.7347</v>
      </c>
      <c r="F333">
        <v>599.27157090000003</v>
      </c>
      <c r="G333">
        <v>272.49267600000002</v>
      </c>
      <c r="H333">
        <v>33.23666343</v>
      </c>
      <c r="I333" t="s">
        <v>16</v>
      </c>
      <c r="J333" s="1">
        <v>45523</v>
      </c>
    </row>
    <row r="334" spans="1:10" x14ac:dyDescent="0.3">
      <c r="A334">
        <v>724</v>
      </c>
      <c r="B334" t="s">
        <v>14</v>
      </c>
      <c r="C334" t="s">
        <v>15</v>
      </c>
      <c r="D334">
        <v>64.323420310000003</v>
      </c>
      <c r="E334">
        <v>418.8742881</v>
      </c>
      <c r="F334">
        <v>755.37223100000006</v>
      </c>
      <c r="G334">
        <v>236.59549530000001</v>
      </c>
      <c r="H334">
        <v>33.627580690000002</v>
      </c>
      <c r="I334" t="s">
        <v>16</v>
      </c>
      <c r="J334" s="1">
        <v>45650</v>
      </c>
    </row>
    <row r="335" spans="1:10" x14ac:dyDescent="0.3">
      <c r="A335">
        <v>678</v>
      </c>
      <c r="B335" t="s">
        <v>43</v>
      </c>
      <c r="C335" t="s">
        <v>19</v>
      </c>
      <c r="D335">
        <v>50.949937509999998</v>
      </c>
      <c r="E335">
        <v>399.19445230000002</v>
      </c>
      <c r="F335">
        <v>396.86941710000002</v>
      </c>
      <c r="G335">
        <v>260.03794809999999</v>
      </c>
      <c r="H335">
        <v>27.722698080000001</v>
      </c>
      <c r="I335" t="s">
        <v>16</v>
      </c>
      <c r="J335" s="1">
        <v>45604</v>
      </c>
    </row>
    <row r="336" spans="1:10" x14ac:dyDescent="0.3">
      <c r="A336">
        <v>479</v>
      </c>
      <c r="C336" t="s">
        <v>17</v>
      </c>
      <c r="D336">
        <v>41.462634649999998</v>
      </c>
      <c r="E336">
        <v>667.74629300000004</v>
      </c>
      <c r="F336">
        <v>297.4083789</v>
      </c>
      <c r="G336">
        <v>189.37493180000001</v>
      </c>
      <c r="H336">
        <v>34.390912069999999</v>
      </c>
      <c r="I336" t="s">
        <v>18</v>
      </c>
      <c r="J336" s="1">
        <v>45405</v>
      </c>
    </row>
    <row r="337" spans="1:10" x14ac:dyDescent="0.3">
      <c r="A337">
        <v>229</v>
      </c>
      <c r="C337" t="s">
        <v>15</v>
      </c>
      <c r="D337">
        <v>49.663134730000003</v>
      </c>
      <c r="E337">
        <v>718.76498749999996</v>
      </c>
      <c r="F337">
        <v>552.62684409999997</v>
      </c>
      <c r="G337">
        <v>192.00419890000001</v>
      </c>
      <c r="H337">
        <v>25.592875469999999</v>
      </c>
      <c r="J337" s="1">
        <v>45155</v>
      </c>
    </row>
    <row r="338" spans="1:10" x14ac:dyDescent="0.3">
      <c r="A338">
        <v>975</v>
      </c>
      <c r="B338" t="s">
        <v>43</v>
      </c>
      <c r="C338" t="s">
        <v>11</v>
      </c>
      <c r="D338">
        <v>253.0557805</v>
      </c>
      <c r="E338">
        <v>1671.9292479999999</v>
      </c>
      <c r="F338">
        <v>536.87209189999999</v>
      </c>
      <c r="G338">
        <v>204.89568689999999</v>
      </c>
      <c r="H338">
        <v>29.421517590000001</v>
      </c>
      <c r="I338" t="s">
        <v>40</v>
      </c>
      <c r="J338" s="1">
        <v>45901</v>
      </c>
    </row>
    <row r="339" spans="1:10" x14ac:dyDescent="0.3">
      <c r="A339">
        <v>815</v>
      </c>
      <c r="B339" t="s">
        <v>42</v>
      </c>
      <c r="C339" t="s">
        <v>15</v>
      </c>
      <c r="D339">
        <v>50.831224659999997</v>
      </c>
      <c r="E339">
        <v>327.01021680000002</v>
      </c>
      <c r="F339">
        <v>400.91918900000002</v>
      </c>
      <c r="G339">
        <v>268.03380179999999</v>
      </c>
      <c r="H339">
        <v>25.48655703</v>
      </c>
      <c r="I339" t="s">
        <v>40</v>
      </c>
      <c r="J339" s="1">
        <v>45741</v>
      </c>
    </row>
    <row r="340" spans="1:10" x14ac:dyDescent="0.3">
      <c r="A340">
        <v>213</v>
      </c>
      <c r="B340" t="s">
        <v>12</v>
      </c>
      <c r="D340">
        <v>50.591421220000001</v>
      </c>
      <c r="E340">
        <v>563.85178610000003</v>
      </c>
      <c r="F340">
        <v>442.4980607</v>
      </c>
      <c r="G340">
        <v>192.35944409999999</v>
      </c>
      <c r="H340">
        <v>33.990299370000002</v>
      </c>
      <c r="I340" t="s">
        <v>44</v>
      </c>
      <c r="J340" s="1">
        <v>45139</v>
      </c>
    </row>
    <row r="341" spans="1:10" x14ac:dyDescent="0.3">
      <c r="A341">
        <v>80</v>
      </c>
      <c r="B341" t="s">
        <v>12</v>
      </c>
      <c r="D341">
        <v>61.293244379999997</v>
      </c>
      <c r="F341">
        <v>371.159021</v>
      </c>
      <c r="G341">
        <v>250.80467609999999</v>
      </c>
      <c r="H341">
        <v>32.470901069999996</v>
      </c>
      <c r="I341" t="s">
        <v>40</v>
      </c>
      <c r="J341" s="1">
        <v>45006</v>
      </c>
    </row>
    <row r="342" spans="1:10" x14ac:dyDescent="0.3">
      <c r="A342">
        <v>149</v>
      </c>
      <c r="B342" t="s">
        <v>43</v>
      </c>
      <c r="C342" t="s">
        <v>19</v>
      </c>
      <c r="D342">
        <v>48.100056129999999</v>
      </c>
      <c r="E342">
        <v>627.45918749999998</v>
      </c>
      <c r="F342">
        <v>440.66117680000002</v>
      </c>
      <c r="G342">
        <v>250.8843206</v>
      </c>
      <c r="H342">
        <v>32.459577690000003</v>
      </c>
      <c r="J342" s="1">
        <v>45075</v>
      </c>
    </row>
    <row r="343" spans="1:10" x14ac:dyDescent="0.3">
      <c r="A343">
        <v>303</v>
      </c>
      <c r="B343" t="s">
        <v>13</v>
      </c>
      <c r="C343" t="s">
        <v>17</v>
      </c>
      <c r="D343">
        <v>43.781816990000003</v>
      </c>
      <c r="E343">
        <v>463.91085809999998</v>
      </c>
      <c r="F343">
        <v>558.31756889999997</v>
      </c>
      <c r="G343">
        <v>180.95017970000001</v>
      </c>
      <c r="H343">
        <v>34.386752530000003</v>
      </c>
      <c r="I343" t="s">
        <v>40</v>
      </c>
      <c r="J343" s="1">
        <v>45229</v>
      </c>
    </row>
    <row r="344" spans="1:10" x14ac:dyDescent="0.3">
      <c r="A344">
        <v>356</v>
      </c>
      <c r="B344" t="s">
        <v>14</v>
      </c>
      <c r="C344" t="s">
        <v>19</v>
      </c>
      <c r="D344">
        <v>55.995941129999999</v>
      </c>
      <c r="E344">
        <v>404.3823117</v>
      </c>
      <c r="F344">
        <v>521.97234249999997</v>
      </c>
      <c r="G344">
        <v>205.28269130000001</v>
      </c>
      <c r="H344">
        <v>32.811251419999998</v>
      </c>
      <c r="I344" t="s">
        <v>18</v>
      </c>
    </row>
    <row r="345" spans="1:10" x14ac:dyDescent="0.3">
      <c r="A345">
        <v>430</v>
      </c>
      <c r="B345" t="s">
        <v>43</v>
      </c>
      <c r="C345" t="s">
        <v>41</v>
      </c>
      <c r="D345">
        <v>27.236264909999999</v>
      </c>
      <c r="E345">
        <v>333.15484479999998</v>
      </c>
      <c r="F345">
        <v>646.88789850000001</v>
      </c>
      <c r="G345">
        <v>247.34642339999999</v>
      </c>
      <c r="H345">
        <v>25.92640909</v>
      </c>
      <c r="I345" t="s">
        <v>16</v>
      </c>
      <c r="J345" s="1">
        <v>45356</v>
      </c>
    </row>
    <row r="346" spans="1:10" x14ac:dyDescent="0.3">
      <c r="A346">
        <v>520</v>
      </c>
      <c r="D346">
        <v>56.235488570000001</v>
      </c>
      <c r="E346">
        <v>518.4247914</v>
      </c>
      <c r="F346">
        <v>495.72249140000002</v>
      </c>
      <c r="G346">
        <v>176.93138930000001</v>
      </c>
      <c r="H346">
        <v>37.936638270000003</v>
      </c>
      <c r="I346" t="s">
        <v>16</v>
      </c>
      <c r="J346" s="1">
        <v>45446</v>
      </c>
    </row>
    <row r="347" spans="1:10" x14ac:dyDescent="0.3">
      <c r="A347">
        <v>363</v>
      </c>
      <c r="B347" t="s">
        <v>12</v>
      </c>
      <c r="D347">
        <v>50.50535816</v>
      </c>
      <c r="E347">
        <v>608.74641740000004</v>
      </c>
      <c r="F347">
        <v>621.65890539999998</v>
      </c>
      <c r="G347">
        <v>252.33374140000001</v>
      </c>
      <c r="H347">
        <v>22.497661440000002</v>
      </c>
      <c r="J347" s="1">
        <v>45289</v>
      </c>
    </row>
    <row r="348" spans="1:10" x14ac:dyDescent="0.3">
      <c r="A348">
        <v>595</v>
      </c>
      <c r="B348" t="s">
        <v>43</v>
      </c>
      <c r="C348" t="s">
        <v>17</v>
      </c>
      <c r="D348">
        <v>31.04035159</v>
      </c>
      <c r="E348">
        <v>554.88788439999996</v>
      </c>
      <c r="F348">
        <v>479.79161720000002</v>
      </c>
      <c r="G348">
        <v>152.05118780000001</v>
      </c>
      <c r="H348">
        <v>32.202598029999997</v>
      </c>
      <c r="I348" t="s">
        <v>16</v>
      </c>
      <c r="J348" s="1">
        <v>45521</v>
      </c>
    </row>
    <row r="349" spans="1:10" x14ac:dyDescent="0.3">
      <c r="A349">
        <v>358</v>
      </c>
      <c r="B349" t="s">
        <v>14</v>
      </c>
      <c r="C349" t="s">
        <v>41</v>
      </c>
      <c r="D349">
        <v>47.636452630000001</v>
      </c>
      <c r="E349">
        <v>515.70536049999998</v>
      </c>
      <c r="F349">
        <v>451.18166250000002</v>
      </c>
      <c r="G349">
        <v>147.73928190000001</v>
      </c>
      <c r="H349">
        <v>25.097652329999999</v>
      </c>
      <c r="J349" s="1">
        <v>45284</v>
      </c>
    </row>
    <row r="350" spans="1:10" x14ac:dyDescent="0.3">
      <c r="A350">
        <v>134</v>
      </c>
      <c r="B350" t="s">
        <v>13</v>
      </c>
      <c r="D350">
        <v>55.20664421</v>
      </c>
      <c r="E350">
        <v>479.05474340000001</v>
      </c>
      <c r="F350">
        <v>396.94173460000002</v>
      </c>
      <c r="G350">
        <v>174.7491575</v>
      </c>
      <c r="H350">
        <v>29.727704299999999</v>
      </c>
      <c r="I350" t="s">
        <v>16</v>
      </c>
      <c r="J350" s="1">
        <v>45060</v>
      </c>
    </row>
    <row r="351" spans="1:10" x14ac:dyDescent="0.3">
      <c r="A351">
        <v>830</v>
      </c>
      <c r="B351" t="s">
        <v>13</v>
      </c>
      <c r="C351" t="s">
        <v>41</v>
      </c>
      <c r="D351">
        <v>52.300095239999997</v>
      </c>
      <c r="E351">
        <v>461.97584440000003</v>
      </c>
      <c r="F351">
        <v>518.35592110000005</v>
      </c>
      <c r="G351">
        <v>95.373339709999996</v>
      </c>
      <c r="H351">
        <v>30.91723288</v>
      </c>
      <c r="I351" t="s">
        <v>44</v>
      </c>
      <c r="J351" s="1">
        <v>45756</v>
      </c>
    </row>
    <row r="352" spans="1:10" x14ac:dyDescent="0.3">
      <c r="A352">
        <v>312</v>
      </c>
      <c r="B352" t="s">
        <v>12</v>
      </c>
      <c r="C352" t="s">
        <v>15</v>
      </c>
      <c r="D352">
        <v>69.465428380000006</v>
      </c>
      <c r="E352">
        <v>570.96412910000004</v>
      </c>
      <c r="F352">
        <v>514.45600249999995</v>
      </c>
      <c r="G352">
        <v>154.9972884</v>
      </c>
      <c r="H352">
        <v>27.482688280000001</v>
      </c>
      <c r="I352" t="s">
        <v>44</v>
      </c>
      <c r="J352" s="1">
        <v>45238</v>
      </c>
    </row>
    <row r="353" spans="1:10" x14ac:dyDescent="0.3">
      <c r="A353">
        <v>622</v>
      </c>
      <c r="B353" t="s">
        <v>13</v>
      </c>
      <c r="C353" t="s">
        <v>19</v>
      </c>
      <c r="D353">
        <v>40.771698100000002</v>
      </c>
      <c r="F353">
        <v>259.82303639999998</v>
      </c>
      <c r="G353">
        <v>166.85466640000001</v>
      </c>
      <c r="H353">
        <v>31.152685640000001</v>
      </c>
      <c r="J353" s="1">
        <v>45548</v>
      </c>
    </row>
    <row r="354" spans="1:10" x14ac:dyDescent="0.3">
      <c r="A354">
        <v>465</v>
      </c>
      <c r="B354" t="s">
        <v>14</v>
      </c>
      <c r="C354" t="s">
        <v>41</v>
      </c>
      <c r="D354">
        <v>56.071311010000002</v>
      </c>
      <c r="E354">
        <v>504.3779763</v>
      </c>
      <c r="F354">
        <v>495.797348</v>
      </c>
      <c r="G354">
        <v>183.90078170000001</v>
      </c>
      <c r="H354">
        <v>25.711305599999999</v>
      </c>
      <c r="I354" t="s">
        <v>40</v>
      </c>
      <c r="J354" s="1">
        <v>45391</v>
      </c>
    </row>
    <row r="355" spans="1:10" x14ac:dyDescent="0.3">
      <c r="A355">
        <v>994</v>
      </c>
      <c r="B355" t="s">
        <v>10</v>
      </c>
      <c r="C355" t="s">
        <v>41</v>
      </c>
      <c r="D355">
        <v>67.691166999999993</v>
      </c>
      <c r="E355">
        <v>388.2581826</v>
      </c>
      <c r="F355">
        <v>523.11630960000002</v>
      </c>
      <c r="G355">
        <v>186.2305021</v>
      </c>
      <c r="H355">
        <v>33.538574410000003</v>
      </c>
      <c r="I355" t="s">
        <v>16</v>
      </c>
      <c r="J355" s="1">
        <v>45920</v>
      </c>
    </row>
    <row r="356" spans="1:10" x14ac:dyDescent="0.3">
      <c r="A356">
        <v>1</v>
      </c>
      <c r="C356" t="s">
        <v>11</v>
      </c>
      <c r="D356">
        <v>42.891280700000003</v>
      </c>
      <c r="F356">
        <v>419.72697909999999</v>
      </c>
      <c r="G356">
        <v>231.50743879999999</v>
      </c>
      <c r="H356">
        <v>23.03675621</v>
      </c>
      <c r="J356" s="1">
        <v>44927</v>
      </c>
    </row>
    <row r="357" spans="1:10" x14ac:dyDescent="0.3">
      <c r="A357">
        <v>317</v>
      </c>
      <c r="C357" t="s">
        <v>15</v>
      </c>
      <c r="D357">
        <v>40.093076109999998</v>
      </c>
      <c r="E357">
        <v>603.70472889999996</v>
      </c>
      <c r="G357">
        <v>149.67047919999999</v>
      </c>
      <c r="H357">
        <v>20.126645530000001</v>
      </c>
      <c r="J357" s="1">
        <v>45243</v>
      </c>
    </row>
    <row r="358" spans="1:10" x14ac:dyDescent="0.3">
      <c r="A358">
        <v>723</v>
      </c>
      <c r="C358" t="s">
        <v>15</v>
      </c>
      <c r="D358">
        <v>61.487334830000002</v>
      </c>
      <c r="E358">
        <v>616.13987870000005</v>
      </c>
      <c r="F358">
        <v>376.77687650000001</v>
      </c>
      <c r="G358">
        <v>246.56347980000001</v>
      </c>
      <c r="H358">
        <v>26.363393890000001</v>
      </c>
      <c r="I358" t="s">
        <v>44</v>
      </c>
      <c r="J358" s="1">
        <v>45649</v>
      </c>
    </row>
    <row r="359" spans="1:10" x14ac:dyDescent="0.3">
      <c r="A359">
        <v>560</v>
      </c>
      <c r="B359" t="s">
        <v>42</v>
      </c>
      <c r="C359" t="s">
        <v>11</v>
      </c>
      <c r="D359">
        <v>68.866146459999996</v>
      </c>
      <c r="E359">
        <v>516.46551550000004</v>
      </c>
      <c r="F359">
        <v>612.48847309999996</v>
      </c>
      <c r="G359">
        <v>182.2910622</v>
      </c>
      <c r="H359">
        <v>21.209724040000001</v>
      </c>
      <c r="I359" t="s">
        <v>40</v>
      </c>
      <c r="J359" s="1">
        <v>45486</v>
      </c>
    </row>
    <row r="360" spans="1:10" x14ac:dyDescent="0.3">
      <c r="A360">
        <v>372</v>
      </c>
      <c r="B360" t="s">
        <v>42</v>
      </c>
      <c r="C360" t="s">
        <v>11</v>
      </c>
      <c r="D360">
        <v>50.63956787</v>
      </c>
      <c r="E360">
        <v>593.75601219999999</v>
      </c>
      <c r="F360">
        <v>508.65952629999998</v>
      </c>
      <c r="G360">
        <v>280.2045627</v>
      </c>
      <c r="I360" t="s">
        <v>44</v>
      </c>
      <c r="J360" s="1">
        <v>45298</v>
      </c>
    </row>
    <row r="361" spans="1:10" x14ac:dyDescent="0.3">
      <c r="A361">
        <v>545</v>
      </c>
      <c r="B361" t="s">
        <v>12</v>
      </c>
      <c r="D361">
        <v>279.4528474</v>
      </c>
      <c r="E361">
        <v>2419.5879770000001</v>
      </c>
      <c r="F361">
        <v>296.72451710000001</v>
      </c>
      <c r="G361">
        <v>215.7141378</v>
      </c>
      <c r="H361">
        <v>22.943724970000002</v>
      </c>
      <c r="I361" t="s">
        <v>40</v>
      </c>
      <c r="J361" s="1">
        <v>45471</v>
      </c>
    </row>
    <row r="362" spans="1:10" x14ac:dyDescent="0.3">
      <c r="A362">
        <v>850</v>
      </c>
      <c r="B362" t="s">
        <v>42</v>
      </c>
      <c r="C362" t="s">
        <v>41</v>
      </c>
      <c r="D362">
        <v>27.922490839999998</v>
      </c>
      <c r="E362">
        <v>568.16906900000004</v>
      </c>
      <c r="F362">
        <v>481.9578722</v>
      </c>
      <c r="G362">
        <v>159.45121829999999</v>
      </c>
      <c r="H362">
        <v>28.691495029999999</v>
      </c>
      <c r="I362" t="s">
        <v>18</v>
      </c>
      <c r="J362" s="1">
        <v>45776</v>
      </c>
    </row>
    <row r="363" spans="1:10" x14ac:dyDescent="0.3">
      <c r="A363">
        <v>395</v>
      </c>
      <c r="B363" t="s">
        <v>43</v>
      </c>
      <c r="D363">
        <v>50.156867140000003</v>
      </c>
      <c r="E363">
        <v>388.28586730000001</v>
      </c>
      <c r="F363">
        <v>469.43466369999999</v>
      </c>
      <c r="G363">
        <v>179.49368770000001</v>
      </c>
      <c r="H363">
        <v>26.276215220000001</v>
      </c>
      <c r="J363" s="1">
        <v>45321</v>
      </c>
    </row>
    <row r="364" spans="1:10" x14ac:dyDescent="0.3">
      <c r="A364">
        <v>173</v>
      </c>
      <c r="B364" t="s">
        <v>12</v>
      </c>
      <c r="C364" t="s">
        <v>17</v>
      </c>
      <c r="D364">
        <v>45.51079172</v>
      </c>
      <c r="E364">
        <v>605.36123989999999</v>
      </c>
      <c r="F364">
        <v>271.94083749999999</v>
      </c>
      <c r="G364">
        <v>142.08570019999999</v>
      </c>
      <c r="H364">
        <v>30.162499310000001</v>
      </c>
      <c r="J364" s="1">
        <v>45099</v>
      </c>
    </row>
    <row r="365" spans="1:10" x14ac:dyDescent="0.3">
      <c r="A365">
        <v>126</v>
      </c>
      <c r="B365" t="s">
        <v>10</v>
      </c>
      <c r="C365" t="s">
        <v>41</v>
      </c>
      <c r="D365">
        <v>47.276040299999998</v>
      </c>
      <c r="E365">
        <v>471.53169639999999</v>
      </c>
      <c r="F365">
        <v>423.20819440000002</v>
      </c>
      <c r="G365">
        <v>194.76040420000001</v>
      </c>
      <c r="H365">
        <v>27.805330139999999</v>
      </c>
      <c r="I365" t="s">
        <v>16</v>
      </c>
      <c r="J365" s="1">
        <v>45052</v>
      </c>
    </row>
    <row r="366" spans="1:10" x14ac:dyDescent="0.3">
      <c r="A366">
        <v>899</v>
      </c>
      <c r="C366" t="s">
        <v>11</v>
      </c>
      <c r="D366">
        <v>52.067240470000002</v>
      </c>
      <c r="E366">
        <v>431.76090060000001</v>
      </c>
      <c r="F366">
        <v>407.49988760000002</v>
      </c>
      <c r="G366">
        <v>205.5133759</v>
      </c>
      <c r="H366">
        <v>29.70316274</v>
      </c>
      <c r="I366" t="s">
        <v>40</v>
      </c>
      <c r="J366" s="1">
        <v>45825</v>
      </c>
    </row>
    <row r="367" spans="1:10" x14ac:dyDescent="0.3">
      <c r="A367">
        <v>579</v>
      </c>
      <c r="B367" t="s">
        <v>10</v>
      </c>
      <c r="C367" t="s">
        <v>11</v>
      </c>
      <c r="D367">
        <v>51.898478359999999</v>
      </c>
      <c r="E367">
        <v>485.39131780000002</v>
      </c>
      <c r="F367">
        <v>624.56093280000005</v>
      </c>
      <c r="G367">
        <v>206.3546374</v>
      </c>
      <c r="H367">
        <v>26.89430956</v>
      </c>
      <c r="I367" t="s">
        <v>40</v>
      </c>
      <c r="J367" s="1">
        <v>45505</v>
      </c>
    </row>
    <row r="368" spans="1:10" x14ac:dyDescent="0.3">
      <c r="A368">
        <v>949</v>
      </c>
      <c r="B368" t="s">
        <v>10</v>
      </c>
      <c r="C368" t="s">
        <v>15</v>
      </c>
      <c r="D368">
        <v>50.054925500000003</v>
      </c>
      <c r="E368">
        <v>575.40831700000001</v>
      </c>
      <c r="F368">
        <v>465.06872120000003</v>
      </c>
      <c r="G368">
        <v>187.2922824</v>
      </c>
      <c r="H368">
        <v>17.510764399999999</v>
      </c>
      <c r="I368" t="s">
        <v>16</v>
      </c>
      <c r="J368" s="1">
        <v>45875</v>
      </c>
    </row>
    <row r="369" spans="1:10" x14ac:dyDescent="0.3">
      <c r="A369">
        <v>921</v>
      </c>
      <c r="B369" t="s">
        <v>14</v>
      </c>
      <c r="C369" t="s">
        <v>17</v>
      </c>
      <c r="D369">
        <v>55.280683680000003</v>
      </c>
      <c r="E369">
        <v>693.91925690000005</v>
      </c>
      <c r="F369">
        <v>554.17309230000001</v>
      </c>
      <c r="G369">
        <v>243.4331521</v>
      </c>
      <c r="H369">
        <v>31.674472210000001</v>
      </c>
      <c r="I369" t="s">
        <v>16</v>
      </c>
      <c r="J369" s="1">
        <v>45847</v>
      </c>
    </row>
    <row r="370" spans="1:10" x14ac:dyDescent="0.3">
      <c r="A370">
        <v>91</v>
      </c>
      <c r="B370" t="s">
        <v>12</v>
      </c>
      <c r="C370" t="s">
        <v>41</v>
      </c>
      <c r="D370">
        <v>59.328790840000003</v>
      </c>
      <c r="E370">
        <v>384.43745180000002</v>
      </c>
      <c r="F370">
        <v>424.17397599999998</v>
      </c>
      <c r="G370">
        <v>246.34334430000001</v>
      </c>
      <c r="H370">
        <v>30.069909079999999</v>
      </c>
      <c r="I370" t="s">
        <v>18</v>
      </c>
      <c r="J370" s="1">
        <v>45017</v>
      </c>
    </row>
    <row r="371" spans="1:10" x14ac:dyDescent="0.3">
      <c r="A371">
        <v>971</v>
      </c>
      <c r="C371" t="s">
        <v>41</v>
      </c>
      <c r="D371">
        <v>39.365979930000002</v>
      </c>
      <c r="E371">
        <v>391.1680513</v>
      </c>
      <c r="F371">
        <v>570.32187780000004</v>
      </c>
      <c r="G371">
        <v>221.04817639999999</v>
      </c>
      <c r="H371">
        <v>32.529309550000001</v>
      </c>
      <c r="J371" s="1">
        <v>45897</v>
      </c>
    </row>
    <row r="372" spans="1:10" x14ac:dyDescent="0.3">
      <c r="A372">
        <v>182</v>
      </c>
      <c r="B372" t="s">
        <v>10</v>
      </c>
      <c r="C372" t="s">
        <v>17</v>
      </c>
      <c r="D372">
        <v>52.966283199999999</v>
      </c>
      <c r="E372">
        <v>525.55736539999998</v>
      </c>
      <c r="F372">
        <v>447.71801440000002</v>
      </c>
      <c r="G372">
        <v>68.966452020000006</v>
      </c>
      <c r="H372">
        <v>29.937933900000001</v>
      </c>
      <c r="J372" s="1">
        <v>45108</v>
      </c>
    </row>
    <row r="373" spans="1:10" x14ac:dyDescent="0.3">
      <c r="A373">
        <v>364</v>
      </c>
      <c r="B373" t="s">
        <v>42</v>
      </c>
      <c r="C373" t="s">
        <v>19</v>
      </c>
      <c r="D373">
        <v>51.704972349999998</v>
      </c>
      <c r="E373">
        <v>592.41618240000003</v>
      </c>
      <c r="F373">
        <v>753.40823839999996</v>
      </c>
      <c r="G373">
        <v>238.0106748</v>
      </c>
      <c r="H373">
        <v>28.266452340000001</v>
      </c>
      <c r="I373" t="s">
        <v>40</v>
      </c>
      <c r="J373" s="1">
        <v>45290</v>
      </c>
    </row>
    <row r="374" spans="1:10" x14ac:dyDescent="0.3">
      <c r="A374">
        <v>275</v>
      </c>
      <c r="C374" t="s">
        <v>41</v>
      </c>
      <c r="D374">
        <v>55.24362747</v>
      </c>
      <c r="E374">
        <v>365.58855299999999</v>
      </c>
      <c r="F374">
        <v>489.10528679999999</v>
      </c>
      <c r="G374">
        <v>264.33129050000002</v>
      </c>
      <c r="H374">
        <v>30.153737920000001</v>
      </c>
      <c r="I374" t="s">
        <v>44</v>
      </c>
      <c r="J374" s="1">
        <v>45201</v>
      </c>
    </row>
    <row r="375" spans="1:10" x14ac:dyDescent="0.3">
      <c r="A375">
        <v>913</v>
      </c>
      <c r="B375" t="s">
        <v>14</v>
      </c>
      <c r="C375" t="s">
        <v>41</v>
      </c>
      <c r="D375">
        <v>142.59095429999999</v>
      </c>
      <c r="E375">
        <v>434.3804045</v>
      </c>
      <c r="F375">
        <v>423.57076890000002</v>
      </c>
      <c r="G375">
        <v>173.28798639999999</v>
      </c>
      <c r="H375">
        <v>23.806769360000001</v>
      </c>
      <c r="I375" t="s">
        <v>44</v>
      </c>
      <c r="J375" s="1">
        <v>45839</v>
      </c>
    </row>
    <row r="376" spans="1:10" x14ac:dyDescent="0.3">
      <c r="A376">
        <v>70</v>
      </c>
      <c r="C376" t="s">
        <v>17</v>
      </c>
      <c r="D376">
        <v>59.501454709999997</v>
      </c>
      <c r="E376">
        <v>563.33613149999996</v>
      </c>
      <c r="F376">
        <v>418.33936599999998</v>
      </c>
      <c r="G376">
        <v>172.3970999</v>
      </c>
      <c r="H376">
        <v>36.139017170000002</v>
      </c>
      <c r="I376" t="s">
        <v>18</v>
      </c>
      <c r="J376" s="1">
        <v>44996</v>
      </c>
    </row>
    <row r="377" spans="1:10" x14ac:dyDescent="0.3">
      <c r="A377">
        <v>292</v>
      </c>
      <c r="B377" t="s">
        <v>10</v>
      </c>
      <c r="C377" t="s">
        <v>11</v>
      </c>
      <c r="D377">
        <v>61.040491359999997</v>
      </c>
      <c r="E377">
        <v>481.05863290000002</v>
      </c>
      <c r="F377">
        <v>446.45180349999998</v>
      </c>
      <c r="G377">
        <v>229.5707755</v>
      </c>
      <c r="H377">
        <v>31.958201200000001</v>
      </c>
      <c r="I377" t="s">
        <v>18</v>
      </c>
      <c r="J377" s="1">
        <v>45218</v>
      </c>
    </row>
    <row r="378" spans="1:10" x14ac:dyDescent="0.3">
      <c r="A378">
        <v>132</v>
      </c>
      <c r="B378" t="s">
        <v>13</v>
      </c>
      <c r="C378" t="s">
        <v>15</v>
      </c>
      <c r="E378">
        <v>501.68907159999998</v>
      </c>
      <c r="F378">
        <v>469.72702930000003</v>
      </c>
      <c r="H378">
        <v>30.016049339999999</v>
      </c>
      <c r="J378" s="1">
        <v>45058</v>
      </c>
    </row>
    <row r="379" spans="1:10" x14ac:dyDescent="0.3">
      <c r="A379">
        <v>301</v>
      </c>
      <c r="B379" t="s">
        <v>13</v>
      </c>
      <c r="C379" t="s">
        <v>17</v>
      </c>
      <c r="D379">
        <v>42.409595529999997</v>
      </c>
      <c r="F379">
        <v>466.12157180000003</v>
      </c>
      <c r="G379">
        <v>86.935448660000006</v>
      </c>
      <c r="H379">
        <v>28.498365769999999</v>
      </c>
      <c r="J379" s="1">
        <v>45227</v>
      </c>
    </row>
    <row r="380" spans="1:10" x14ac:dyDescent="0.3">
      <c r="A380">
        <v>448</v>
      </c>
      <c r="C380" t="s">
        <v>19</v>
      </c>
      <c r="D380">
        <v>128.78537299999999</v>
      </c>
      <c r="E380">
        <v>518.56925899999999</v>
      </c>
      <c r="F380">
        <v>587.83781499999998</v>
      </c>
      <c r="G380">
        <v>168.2634055</v>
      </c>
      <c r="H380">
        <v>25.578554990000001</v>
      </c>
      <c r="I380" t="s">
        <v>18</v>
      </c>
      <c r="J380" s="1">
        <v>45374</v>
      </c>
    </row>
    <row r="381" spans="1:10" x14ac:dyDescent="0.3">
      <c r="A381">
        <v>327</v>
      </c>
      <c r="B381" t="s">
        <v>14</v>
      </c>
      <c r="D381">
        <v>50.729967559999999</v>
      </c>
      <c r="E381">
        <v>426.84865960000002</v>
      </c>
      <c r="F381">
        <v>313.33101950000002</v>
      </c>
      <c r="G381">
        <v>213.1107366</v>
      </c>
      <c r="H381">
        <v>26.974666060000001</v>
      </c>
      <c r="I381" t="s">
        <v>16</v>
      </c>
      <c r="J381" s="1">
        <v>45253</v>
      </c>
    </row>
    <row r="382" spans="1:10" x14ac:dyDescent="0.3">
      <c r="A382">
        <v>145</v>
      </c>
      <c r="B382" t="s">
        <v>14</v>
      </c>
      <c r="C382" t="s">
        <v>15</v>
      </c>
      <c r="D382">
        <v>50.483851180000002</v>
      </c>
      <c r="E382">
        <v>597.09413310000002</v>
      </c>
      <c r="F382">
        <v>394.19737579999997</v>
      </c>
      <c r="G382">
        <v>227.93254580000001</v>
      </c>
      <c r="H382">
        <v>21.332652509999999</v>
      </c>
      <c r="I382" t="s">
        <v>44</v>
      </c>
      <c r="J382" s="1">
        <v>45071</v>
      </c>
    </row>
    <row r="383" spans="1:10" x14ac:dyDescent="0.3">
      <c r="A383">
        <v>552</v>
      </c>
      <c r="B383" t="s">
        <v>14</v>
      </c>
      <c r="C383" t="s">
        <v>11</v>
      </c>
      <c r="D383">
        <v>44.27002195</v>
      </c>
      <c r="E383">
        <v>500.90381869999999</v>
      </c>
      <c r="F383">
        <v>513.95354210000005</v>
      </c>
      <c r="G383">
        <v>224.45419390000001</v>
      </c>
      <c r="H383">
        <v>27.966657789999999</v>
      </c>
      <c r="I383" t="s">
        <v>18</v>
      </c>
      <c r="J383" s="1">
        <v>45478</v>
      </c>
    </row>
    <row r="384" spans="1:10" x14ac:dyDescent="0.3">
      <c r="A384">
        <v>596</v>
      </c>
      <c r="B384" t="s">
        <v>10</v>
      </c>
      <c r="C384" t="s">
        <v>19</v>
      </c>
      <c r="D384">
        <v>51.702983619999998</v>
      </c>
      <c r="E384">
        <v>721.92012720000002</v>
      </c>
      <c r="F384">
        <v>452.65344219999997</v>
      </c>
      <c r="G384">
        <v>243.6459174</v>
      </c>
      <c r="H384">
        <v>25.40515439</v>
      </c>
      <c r="I384" t="s">
        <v>40</v>
      </c>
      <c r="J384" s="1">
        <v>45522</v>
      </c>
    </row>
    <row r="385" spans="1:10" x14ac:dyDescent="0.3">
      <c r="A385">
        <v>656</v>
      </c>
      <c r="B385" t="s">
        <v>12</v>
      </c>
      <c r="C385" t="s">
        <v>41</v>
      </c>
      <c r="D385">
        <v>68.115048130000005</v>
      </c>
      <c r="E385">
        <v>562.40714149999997</v>
      </c>
      <c r="F385">
        <v>395.93558059999998</v>
      </c>
      <c r="G385">
        <v>257.42229780000002</v>
      </c>
      <c r="H385">
        <v>28.373505380000001</v>
      </c>
      <c r="I385" t="s">
        <v>44</v>
      </c>
      <c r="J385" s="1">
        <v>45582</v>
      </c>
    </row>
    <row r="386" spans="1:10" x14ac:dyDescent="0.3">
      <c r="A386">
        <v>136</v>
      </c>
      <c r="B386" t="s">
        <v>12</v>
      </c>
      <c r="C386" t="s">
        <v>19</v>
      </c>
      <c r="D386">
        <v>62.225009149999998</v>
      </c>
      <c r="E386">
        <v>358.35023649999999</v>
      </c>
      <c r="F386">
        <v>338.54200320000001</v>
      </c>
      <c r="G386">
        <v>203.26752980000001</v>
      </c>
      <c r="H386">
        <v>21.871092010000002</v>
      </c>
      <c r="J386" s="1">
        <v>45062</v>
      </c>
    </row>
    <row r="387" spans="1:10" x14ac:dyDescent="0.3">
      <c r="A387">
        <v>431</v>
      </c>
      <c r="B387" t="s">
        <v>43</v>
      </c>
      <c r="C387" t="s">
        <v>41</v>
      </c>
      <c r="D387">
        <v>52.848898929999997</v>
      </c>
      <c r="E387">
        <v>367.16850490000002</v>
      </c>
      <c r="F387">
        <v>494.87009119999999</v>
      </c>
      <c r="G387">
        <v>130.14238470000001</v>
      </c>
      <c r="H387">
        <v>35.359826839999997</v>
      </c>
      <c r="J387" s="1">
        <v>45357</v>
      </c>
    </row>
    <row r="388" spans="1:10" x14ac:dyDescent="0.3">
      <c r="A388">
        <v>165</v>
      </c>
      <c r="C388" t="s">
        <v>15</v>
      </c>
      <c r="D388">
        <v>60.730873449999997</v>
      </c>
      <c r="E388">
        <v>577.89797120000003</v>
      </c>
      <c r="F388">
        <v>458.10982369999999</v>
      </c>
      <c r="G388">
        <v>145.78949600000001</v>
      </c>
      <c r="H388">
        <v>34.031827120000003</v>
      </c>
      <c r="I388" t="s">
        <v>18</v>
      </c>
      <c r="J388" s="1">
        <v>45091</v>
      </c>
    </row>
    <row r="389" spans="1:10" x14ac:dyDescent="0.3">
      <c r="A389">
        <v>29</v>
      </c>
      <c r="B389" t="s">
        <v>42</v>
      </c>
      <c r="C389" t="s">
        <v>19</v>
      </c>
      <c r="D389">
        <v>43.653949650000001</v>
      </c>
      <c r="E389">
        <v>614.5389189</v>
      </c>
      <c r="F389">
        <v>497.86920909999998</v>
      </c>
      <c r="G389">
        <v>129.38528400000001</v>
      </c>
      <c r="H389">
        <v>35.169026879999997</v>
      </c>
      <c r="I389" t="s">
        <v>18</v>
      </c>
      <c r="J389" s="1">
        <v>44955</v>
      </c>
    </row>
    <row r="390" spans="1:10" x14ac:dyDescent="0.3">
      <c r="A390">
        <v>588</v>
      </c>
      <c r="B390" t="s">
        <v>42</v>
      </c>
      <c r="C390" t="s">
        <v>17</v>
      </c>
      <c r="D390">
        <v>30.626376839999999</v>
      </c>
      <c r="E390">
        <v>266.93452359999998</v>
      </c>
      <c r="F390">
        <v>772.98052110000003</v>
      </c>
      <c r="G390">
        <v>194.2641438</v>
      </c>
      <c r="H390">
        <v>38.090962449999999</v>
      </c>
      <c r="J390" s="1">
        <v>45514</v>
      </c>
    </row>
    <row r="391" spans="1:10" x14ac:dyDescent="0.3">
      <c r="A391">
        <v>194</v>
      </c>
      <c r="B391" t="s">
        <v>13</v>
      </c>
      <c r="C391" t="s">
        <v>15</v>
      </c>
      <c r="D391">
        <v>239.9521173</v>
      </c>
      <c r="E391">
        <v>489.24408679999999</v>
      </c>
      <c r="F391">
        <v>398.94225879999999</v>
      </c>
      <c r="G391">
        <v>255.24709609999999</v>
      </c>
      <c r="H391">
        <v>25.852462209999999</v>
      </c>
      <c r="I391" t="s">
        <v>18</v>
      </c>
      <c r="J391" s="1">
        <v>45120</v>
      </c>
    </row>
    <row r="392" spans="1:10" x14ac:dyDescent="0.3">
      <c r="A392">
        <v>791</v>
      </c>
      <c r="B392" t="s">
        <v>43</v>
      </c>
      <c r="C392" t="s">
        <v>11</v>
      </c>
      <c r="D392">
        <v>45.647777670000004</v>
      </c>
      <c r="E392">
        <v>419.25645989999998</v>
      </c>
      <c r="F392">
        <v>467.22145399999999</v>
      </c>
      <c r="G392">
        <v>299.94358679999999</v>
      </c>
      <c r="H392">
        <v>23.159629460000001</v>
      </c>
      <c r="I392" t="s">
        <v>40</v>
      </c>
      <c r="J392" s="1">
        <v>45717</v>
      </c>
    </row>
    <row r="393" spans="1:10" x14ac:dyDescent="0.3">
      <c r="A393">
        <v>653</v>
      </c>
      <c r="C393" t="s">
        <v>17</v>
      </c>
      <c r="D393">
        <v>47.0445876</v>
      </c>
      <c r="E393">
        <v>639.6596892</v>
      </c>
      <c r="F393">
        <v>547.16405669999995</v>
      </c>
      <c r="G393">
        <v>163.33674529999999</v>
      </c>
      <c r="H393">
        <v>22.782214830000001</v>
      </c>
      <c r="I393" t="s">
        <v>18</v>
      </c>
      <c r="J393" s="1">
        <v>45579</v>
      </c>
    </row>
    <row r="394" spans="1:10" x14ac:dyDescent="0.3">
      <c r="C394" t="s">
        <v>11</v>
      </c>
      <c r="D394">
        <v>70.03407267</v>
      </c>
      <c r="E394">
        <v>495.83191979999998</v>
      </c>
      <c r="F394">
        <v>419.53838969999998</v>
      </c>
      <c r="G394">
        <v>183.97202089999999</v>
      </c>
      <c r="H394">
        <v>35.953730579999998</v>
      </c>
      <c r="I394" t="s">
        <v>16</v>
      </c>
      <c r="J394" s="1">
        <v>45096</v>
      </c>
    </row>
    <row r="395" spans="1:10" x14ac:dyDescent="0.3">
      <c r="A395">
        <v>514</v>
      </c>
      <c r="B395" t="s">
        <v>42</v>
      </c>
      <c r="C395" t="s">
        <v>17</v>
      </c>
      <c r="D395">
        <v>57.236136190000003</v>
      </c>
      <c r="E395" t="s">
        <v>46</v>
      </c>
      <c r="F395">
        <v>551.56764829999997</v>
      </c>
      <c r="G395">
        <v>222.4950115</v>
      </c>
      <c r="H395">
        <v>35.429106599999997</v>
      </c>
      <c r="I395" t="s">
        <v>44</v>
      </c>
      <c r="J395" s="1">
        <v>45440</v>
      </c>
    </row>
    <row r="396" spans="1:10" x14ac:dyDescent="0.3">
      <c r="A396">
        <v>141</v>
      </c>
      <c r="D396">
        <v>46.966915380000003</v>
      </c>
      <c r="E396">
        <v>462.94094769999998</v>
      </c>
      <c r="F396">
        <v>633.88361689999999</v>
      </c>
      <c r="G396">
        <v>191.00916839999999</v>
      </c>
      <c r="H396">
        <v>37.718488800000003</v>
      </c>
      <c r="I396" t="s">
        <v>18</v>
      </c>
      <c r="J396" s="1">
        <v>45067</v>
      </c>
    </row>
    <row r="397" spans="1:10" x14ac:dyDescent="0.3">
      <c r="A397">
        <v>174</v>
      </c>
      <c r="B397" t="s">
        <v>10</v>
      </c>
      <c r="C397" t="s">
        <v>41</v>
      </c>
      <c r="D397">
        <v>50.674985360000001</v>
      </c>
      <c r="E397">
        <v>427.65371909999999</v>
      </c>
      <c r="F397">
        <v>520.91432280000004</v>
      </c>
      <c r="G397">
        <v>115.921145</v>
      </c>
      <c r="H397">
        <v>34.027969169999999</v>
      </c>
      <c r="J397" s="1">
        <v>45100</v>
      </c>
    </row>
    <row r="398" spans="1:10" x14ac:dyDescent="0.3">
      <c r="A398">
        <v>7</v>
      </c>
      <c r="B398" t="s">
        <v>43</v>
      </c>
      <c r="C398" t="s">
        <v>11</v>
      </c>
      <c r="D398">
        <v>55.055018109999999</v>
      </c>
      <c r="E398">
        <v>563.97873319999997</v>
      </c>
      <c r="F398">
        <v>472.48025719999998</v>
      </c>
      <c r="G398">
        <v>216.66200180000001</v>
      </c>
      <c r="H398">
        <v>35.118881510000001</v>
      </c>
      <c r="I398" t="s">
        <v>18</v>
      </c>
      <c r="J398" s="1">
        <v>44933</v>
      </c>
    </row>
    <row r="399" spans="1:10" x14ac:dyDescent="0.3">
      <c r="A399">
        <v>657</v>
      </c>
      <c r="B399" t="s">
        <v>43</v>
      </c>
      <c r="C399" t="s">
        <v>19</v>
      </c>
      <c r="D399">
        <v>245.8676107</v>
      </c>
      <c r="E399">
        <v>1542.295427</v>
      </c>
      <c r="F399">
        <v>571.21420520000004</v>
      </c>
      <c r="G399">
        <v>137.32711929999999</v>
      </c>
      <c r="H399">
        <v>38.09906617</v>
      </c>
      <c r="I399" t="s">
        <v>18</v>
      </c>
      <c r="J399" s="1">
        <v>45583</v>
      </c>
    </row>
    <row r="400" spans="1:10" x14ac:dyDescent="0.3">
      <c r="A400">
        <v>965</v>
      </c>
      <c r="B400" t="s">
        <v>42</v>
      </c>
      <c r="C400" t="s">
        <v>41</v>
      </c>
      <c r="D400">
        <v>51.833002120000003</v>
      </c>
      <c r="E400">
        <v>533.13416470000004</v>
      </c>
      <c r="F400">
        <v>487.17214050000001</v>
      </c>
      <c r="G400">
        <v>266.60380959999998</v>
      </c>
      <c r="I400" t="s">
        <v>44</v>
      </c>
      <c r="J400" s="1">
        <v>45891</v>
      </c>
    </row>
    <row r="401" spans="1:10" x14ac:dyDescent="0.3">
      <c r="A401">
        <v>74</v>
      </c>
      <c r="B401" t="s">
        <v>43</v>
      </c>
      <c r="C401" t="s">
        <v>41</v>
      </c>
      <c r="D401">
        <v>71.825070240000002</v>
      </c>
      <c r="E401">
        <v>502.31387230000001</v>
      </c>
      <c r="G401">
        <v>143.89233809999999</v>
      </c>
      <c r="H401">
        <v>31.424126390000001</v>
      </c>
      <c r="J401" s="1">
        <v>45000</v>
      </c>
    </row>
    <row r="402" spans="1:10" x14ac:dyDescent="0.3">
      <c r="A402">
        <v>765</v>
      </c>
      <c r="B402" t="s">
        <v>14</v>
      </c>
      <c r="C402" t="s">
        <v>41</v>
      </c>
      <c r="D402">
        <v>44.908047600000003</v>
      </c>
      <c r="E402">
        <v>611.29465300000004</v>
      </c>
      <c r="F402">
        <v>360.5515676</v>
      </c>
      <c r="G402">
        <v>209.93379289999999</v>
      </c>
      <c r="H402">
        <v>41.758859190000003</v>
      </c>
      <c r="J402" s="1">
        <v>45691</v>
      </c>
    </row>
    <row r="403" spans="1:10" x14ac:dyDescent="0.3">
      <c r="A403">
        <v>654</v>
      </c>
      <c r="B403" t="s">
        <v>12</v>
      </c>
      <c r="D403">
        <v>51.52315514</v>
      </c>
      <c r="E403">
        <v>541.46479850000003</v>
      </c>
      <c r="F403">
        <v>502.50465409999998</v>
      </c>
      <c r="G403">
        <v>166.50983210000001</v>
      </c>
      <c r="H403">
        <v>33.434376120000003</v>
      </c>
      <c r="I403" t="s">
        <v>44</v>
      </c>
      <c r="J403" s="1">
        <v>45580</v>
      </c>
    </row>
    <row r="404" spans="1:10" x14ac:dyDescent="0.3">
      <c r="A404">
        <v>239</v>
      </c>
      <c r="D404">
        <v>43.966764349999998</v>
      </c>
      <c r="E404">
        <v>457.62235889999999</v>
      </c>
      <c r="F404">
        <v>617.35275379999996</v>
      </c>
      <c r="G404">
        <v>200.5439379</v>
      </c>
      <c r="H404">
        <v>37.76900251</v>
      </c>
      <c r="I404" t="s">
        <v>40</v>
      </c>
      <c r="J404" s="1">
        <v>45165</v>
      </c>
    </row>
    <row r="405" spans="1:10" x14ac:dyDescent="0.3">
      <c r="A405">
        <v>146</v>
      </c>
      <c r="D405">
        <v>43.124565490000002</v>
      </c>
      <c r="E405">
        <v>660.22532260000003</v>
      </c>
      <c r="F405">
        <v>356.57081690000001</v>
      </c>
      <c r="G405">
        <v>191.29246950000001</v>
      </c>
      <c r="H405">
        <v>31.107466540000001</v>
      </c>
      <c r="I405" t="s">
        <v>16</v>
      </c>
      <c r="J405" s="1">
        <v>45072</v>
      </c>
    </row>
    <row r="406" spans="1:10" x14ac:dyDescent="0.3">
      <c r="A406">
        <v>809</v>
      </c>
      <c r="B406" t="s">
        <v>10</v>
      </c>
      <c r="C406" t="s">
        <v>15</v>
      </c>
      <c r="D406">
        <v>54.283129619999997</v>
      </c>
      <c r="E406">
        <v>534.30670090000001</v>
      </c>
      <c r="F406">
        <v>416.9533356</v>
      </c>
      <c r="G406">
        <v>190.0008551</v>
      </c>
      <c r="H406">
        <v>32.45090759</v>
      </c>
      <c r="I406" t="s">
        <v>40</v>
      </c>
      <c r="J406" s="1">
        <v>45735</v>
      </c>
    </row>
    <row r="407" spans="1:10" x14ac:dyDescent="0.3">
      <c r="A407">
        <v>235</v>
      </c>
      <c r="B407" t="s">
        <v>14</v>
      </c>
      <c r="C407" t="s">
        <v>19</v>
      </c>
      <c r="D407">
        <v>30.878968390000001</v>
      </c>
      <c r="E407">
        <v>544.78617480000003</v>
      </c>
      <c r="F407">
        <v>322.30249750000002</v>
      </c>
      <c r="G407">
        <v>184.6917071</v>
      </c>
      <c r="H407">
        <v>36.843148110000001</v>
      </c>
      <c r="J407" s="1">
        <v>45161</v>
      </c>
    </row>
    <row r="408" spans="1:10" x14ac:dyDescent="0.3">
      <c r="A408">
        <v>221</v>
      </c>
      <c r="B408" t="s">
        <v>14</v>
      </c>
      <c r="C408" t="s">
        <v>11</v>
      </c>
      <c r="D408">
        <v>73.286190079999997</v>
      </c>
      <c r="E408">
        <v>503.78619149999997</v>
      </c>
      <c r="F408">
        <v>434.94073359999999</v>
      </c>
      <c r="H408">
        <v>30.598296520000002</v>
      </c>
      <c r="I408" t="s">
        <v>40</v>
      </c>
      <c r="J408" s="1">
        <v>45147</v>
      </c>
    </row>
    <row r="409" spans="1:10" x14ac:dyDescent="0.3">
      <c r="A409">
        <v>501</v>
      </c>
      <c r="C409" t="s">
        <v>11</v>
      </c>
      <c r="D409">
        <v>58.8859888</v>
      </c>
      <c r="E409">
        <v>515.4336687</v>
      </c>
      <c r="F409">
        <v>194.82805719999999</v>
      </c>
      <c r="G409">
        <v>147.1301071</v>
      </c>
      <c r="H409">
        <v>27.924123590000001</v>
      </c>
      <c r="J409" s="1">
        <v>45427</v>
      </c>
    </row>
    <row r="410" spans="1:10" x14ac:dyDescent="0.3">
      <c r="A410">
        <v>674</v>
      </c>
      <c r="B410" t="s">
        <v>14</v>
      </c>
      <c r="D410">
        <v>44.89563948</v>
      </c>
      <c r="E410">
        <v>378.28795980000001</v>
      </c>
      <c r="F410">
        <v>403.40676409999998</v>
      </c>
      <c r="G410">
        <v>220.72971749999999</v>
      </c>
      <c r="H410">
        <v>24.080786790000001</v>
      </c>
      <c r="I410" t="s">
        <v>44</v>
      </c>
      <c r="J410" s="1">
        <v>45600</v>
      </c>
    </row>
    <row r="411" spans="1:10" x14ac:dyDescent="0.3">
      <c r="A411">
        <v>133</v>
      </c>
      <c r="B411" t="s">
        <v>14</v>
      </c>
      <c r="C411" t="s">
        <v>41</v>
      </c>
      <c r="D411">
        <v>41.616125089999997</v>
      </c>
      <c r="E411">
        <v>355.8517938</v>
      </c>
      <c r="F411">
        <v>660.91602709999995</v>
      </c>
      <c r="G411">
        <v>197.06176439999999</v>
      </c>
      <c r="H411">
        <v>26.53567438</v>
      </c>
      <c r="I411" t="s">
        <v>40</v>
      </c>
      <c r="J411" s="1">
        <v>45059</v>
      </c>
    </row>
    <row r="412" spans="1:10" x14ac:dyDescent="0.3">
      <c r="A412">
        <v>447</v>
      </c>
      <c r="B412" t="s">
        <v>12</v>
      </c>
      <c r="C412" t="s">
        <v>17</v>
      </c>
      <c r="D412">
        <v>50.886466970000001</v>
      </c>
      <c r="E412">
        <v>491.66157249999998</v>
      </c>
      <c r="F412">
        <v>395.19242839999998</v>
      </c>
      <c r="G412">
        <v>194.78507440000001</v>
      </c>
      <c r="H412">
        <v>30.123993169999999</v>
      </c>
      <c r="J412" s="1">
        <v>45373</v>
      </c>
    </row>
    <row r="413" spans="1:10" x14ac:dyDescent="0.3">
      <c r="A413">
        <v>434</v>
      </c>
      <c r="B413" t="s">
        <v>13</v>
      </c>
      <c r="C413" t="s">
        <v>11</v>
      </c>
      <c r="D413">
        <v>38.791776339999998</v>
      </c>
      <c r="E413">
        <v>438.66391870000001</v>
      </c>
      <c r="F413">
        <v>576.4703197</v>
      </c>
      <c r="G413">
        <v>191.7719515</v>
      </c>
      <c r="H413">
        <v>37.209026649999998</v>
      </c>
      <c r="I413" t="s">
        <v>44</v>
      </c>
      <c r="J413" s="1">
        <v>45360</v>
      </c>
    </row>
    <row r="414" spans="1:10" x14ac:dyDescent="0.3">
      <c r="A414">
        <v>671</v>
      </c>
      <c r="B414" t="s">
        <v>13</v>
      </c>
      <c r="C414" t="s">
        <v>19</v>
      </c>
      <c r="D414">
        <v>43.71515136</v>
      </c>
      <c r="E414">
        <v>686.46250569999995</v>
      </c>
      <c r="F414">
        <v>419.83568739999998</v>
      </c>
      <c r="G414">
        <v>233.5849092</v>
      </c>
      <c r="H414">
        <v>26.117318279999999</v>
      </c>
      <c r="I414" t="s">
        <v>40</v>
      </c>
      <c r="J414" s="1">
        <v>45597</v>
      </c>
    </row>
    <row r="415" spans="1:10" x14ac:dyDescent="0.3">
      <c r="A415">
        <v>186</v>
      </c>
      <c r="C415" t="s">
        <v>11</v>
      </c>
      <c r="D415">
        <v>199.94968879999999</v>
      </c>
      <c r="E415">
        <v>567.69663869999999</v>
      </c>
      <c r="F415">
        <v>414.150104</v>
      </c>
      <c r="G415">
        <v>197.88157949999999</v>
      </c>
      <c r="H415">
        <v>37.746704630000004</v>
      </c>
      <c r="I415" t="s">
        <v>40</v>
      </c>
      <c r="J415" s="1">
        <v>45112</v>
      </c>
    </row>
    <row r="416" spans="1:10" x14ac:dyDescent="0.3">
      <c r="A416">
        <v>42</v>
      </c>
      <c r="B416" t="s">
        <v>42</v>
      </c>
      <c r="C416" t="s">
        <v>17</v>
      </c>
      <c r="D416">
        <v>44.289952800000002</v>
      </c>
      <c r="E416">
        <v>544.96559070000001</v>
      </c>
      <c r="F416">
        <v>451.93019629999998</v>
      </c>
      <c r="G416">
        <v>240.99440770000001</v>
      </c>
      <c r="H416">
        <v>31.451232829999999</v>
      </c>
      <c r="I416" t="s">
        <v>44</v>
      </c>
      <c r="J416" s="1">
        <v>44968</v>
      </c>
    </row>
    <row r="417" spans="1:10" x14ac:dyDescent="0.3">
      <c r="A417">
        <v>626</v>
      </c>
      <c r="B417" t="s">
        <v>14</v>
      </c>
      <c r="C417" t="s">
        <v>19</v>
      </c>
      <c r="D417">
        <v>49.859804619999998</v>
      </c>
      <c r="E417">
        <v>602.33855819999997</v>
      </c>
      <c r="F417">
        <v>504.00178210000001</v>
      </c>
      <c r="G417">
        <v>185.07968640000001</v>
      </c>
      <c r="H417">
        <v>30.46465117</v>
      </c>
      <c r="I417" t="s">
        <v>40</v>
      </c>
      <c r="J417" s="1">
        <v>45552</v>
      </c>
    </row>
    <row r="418" spans="1:10" x14ac:dyDescent="0.3">
      <c r="A418">
        <v>109</v>
      </c>
      <c r="C418" t="s">
        <v>41</v>
      </c>
      <c r="D418">
        <v>53.238001279999999</v>
      </c>
      <c r="E418">
        <v>602.74215349999997</v>
      </c>
      <c r="F418">
        <v>644.44916330000001</v>
      </c>
      <c r="G418">
        <v>216.44664470000001</v>
      </c>
      <c r="H418">
        <v>37.540061369999997</v>
      </c>
      <c r="I418" t="s">
        <v>44</v>
      </c>
      <c r="J418" s="1">
        <v>45035</v>
      </c>
    </row>
    <row r="419" spans="1:10" x14ac:dyDescent="0.3">
      <c r="A419">
        <v>604</v>
      </c>
      <c r="B419" t="s">
        <v>14</v>
      </c>
      <c r="C419" t="s">
        <v>19</v>
      </c>
      <c r="D419">
        <v>49.483558449999997</v>
      </c>
      <c r="E419">
        <v>371.55696260000002</v>
      </c>
      <c r="F419">
        <v>734.46817450000003</v>
      </c>
      <c r="G419">
        <v>119.6052597</v>
      </c>
      <c r="H419">
        <v>18.42771961</v>
      </c>
      <c r="I419" t="s">
        <v>44</v>
      </c>
      <c r="J419" s="1">
        <v>45530</v>
      </c>
    </row>
    <row r="420" spans="1:10" x14ac:dyDescent="0.3">
      <c r="A420">
        <v>57</v>
      </c>
      <c r="B420" t="s">
        <v>12</v>
      </c>
      <c r="C420" t="s">
        <v>11</v>
      </c>
      <c r="D420">
        <v>59.888827370000001</v>
      </c>
      <c r="E420">
        <v>645.5021223</v>
      </c>
      <c r="F420">
        <v>628.05806789999997</v>
      </c>
      <c r="G420">
        <v>161.97909000000001</v>
      </c>
      <c r="H420">
        <v>31.563254959999998</v>
      </c>
      <c r="I420" t="s">
        <v>40</v>
      </c>
      <c r="J420" s="1">
        <v>44983</v>
      </c>
    </row>
    <row r="421" spans="1:10" x14ac:dyDescent="0.3">
      <c r="A421">
        <v>429</v>
      </c>
      <c r="C421" t="s">
        <v>19</v>
      </c>
      <c r="D421">
        <v>41.251796200000001</v>
      </c>
      <c r="E421">
        <v>449.29243839999998</v>
      </c>
      <c r="F421">
        <v>502.18414610000002</v>
      </c>
      <c r="G421">
        <v>154.86501680000001</v>
      </c>
      <c r="H421">
        <v>20.806116410000001</v>
      </c>
      <c r="I421" t="s">
        <v>18</v>
      </c>
      <c r="J421" s="1">
        <v>45355</v>
      </c>
    </row>
    <row r="422" spans="1:10" x14ac:dyDescent="0.3">
      <c r="A422">
        <v>469</v>
      </c>
      <c r="C422" t="s">
        <v>15</v>
      </c>
      <c r="D422">
        <v>52.811795619999998</v>
      </c>
      <c r="E422">
        <v>489.02304959999998</v>
      </c>
      <c r="F422">
        <v>444.79133810000002</v>
      </c>
      <c r="G422">
        <v>193.693412</v>
      </c>
      <c r="H422">
        <v>30.019874779999999</v>
      </c>
      <c r="I422" t="s">
        <v>40</v>
      </c>
      <c r="J422" s="1">
        <v>45395</v>
      </c>
    </row>
    <row r="423" spans="1:10" x14ac:dyDescent="0.3">
      <c r="A423">
        <v>577</v>
      </c>
      <c r="B423" t="s">
        <v>42</v>
      </c>
      <c r="C423" t="s">
        <v>17</v>
      </c>
      <c r="D423">
        <v>54.800595800000004</v>
      </c>
      <c r="E423">
        <v>358.23760659999999</v>
      </c>
      <c r="F423">
        <v>312.367909</v>
      </c>
      <c r="G423">
        <v>190.9054041</v>
      </c>
      <c r="H423">
        <v>26.659320350000002</v>
      </c>
      <c r="I423" t="s">
        <v>16</v>
      </c>
      <c r="J423" s="1">
        <v>45503</v>
      </c>
    </row>
    <row r="424" spans="1:10" x14ac:dyDescent="0.3">
      <c r="A424">
        <v>878</v>
      </c>
      <c r="B424" t="s">
        <v>42</v>
      </c>
      <c r="D424">
        <v>48.185216699999998</v>
      </c>
      <c r="E424">
        <v>540.2088258</v>
      </c>
      <c r="F424">
        <v>349.87545499999999</v>
      </c>
      <c r="G424">
        <v>274.49013159999998</v>
      </c>
      <c r="H424">
        <v>25.785472179999999</v>
      </c>
      <c r="I424" t="s">
        <v>16</v>
      </c>
      <c r="J424" s="1">
        <v>45804</v>
      </c>
    </row>
    <row r="425" spans="1:10" x14ac:dyDescent="0.3">
      <c r="A425">
        <v>25</v>
      </c>
      <c r="B425" t="s">
        <v>43</v>
      </c>
      <c r="C425" t="s">
        <v>15</v>
      </c>
      <c r="D425">
        <v>42.59167592</v>
      </c>
      <c r="E425">
        <v>595.19603640000003</v>
      </c>
      <c r="F425">
        <v>501.26625419999999</v>
      </c>
      <c r="G425">
        <v>187.53179489999999</v>
      </c>
      <c r="H425">
        <v>28.367045860000001</v>
      </c>
      <c r="I425" t="s">
        <v>44</v>
      </c>
      <c r="J425" s="1">
        <v>44951</v>
      </c>
    </row>
    <row r="426" spans="1:10" x14ac:dyDescent="0.3">
      <c r="A426">
        <v>441</v>
      </c>
      <c r="B426" t="s">
        <v>13</v>
      </c>
      <c r="C426" t="s">
        <v>17</v>
      </c>
      <c r="D426">
        <v>52.76543667</v>
      </c>
      <c r="E426">
        <v>325.25469149999998</v>
      </c>
      <c r="F426">
        <v>624.29732969999998</v>
      </c>
      <c r="G426">
        <v>172.92455000000001</v>
      </c>
      <c r="H426">
        <v>27.37820022</v>
      </c>
      <c r="I426" t="s">
        <v>44</v>
      </c>
      <c r="J426" s="1">
        <v>45367</v>
      </c>
    </row>
    <row r="427" spans="1:10" x14ac:dyDescent="0.3">
      <c r="A427">
        <v>883</v>
      </c>
      <c r="B427" t="s">
        <v>13</v>
      </c>
      <c r="C427" t="s">
        <v>15</v>
      </c>
      <c r="D427">
        <v>51.448676650000003</v>
      </c>
      <c r="E427">
        <v>544.19860059999996</v>
      </c>
      <c r="F427">
        <v>386.24439519999999</v>
      </c>
      <c r="G427">
        <v>212.38935910000001</v>
      </c>
      <c r="H427">
        <v>39.306286870000001</v>
      </c>
      <c r="I427" t="s">
        <v>40</v>
      </c>
      <c r="J427" s="1">
        <v>45809</v>
      </c>
    </row>
    <row r="428" spans="1:10" x14ac:dyDescent="0.3">
      <c r="A428">
        <v>544</v>
      </c>
      <c r="B428" t="s">
        <v>14</v>
      </c>
      <c r="C428" t="s">
        <v>15</v>
      </c>
      <c r="D428">
        <v>29.058793720000001</v>
      </c>
      <c r="E428">
        <v>553.28333009999994</v>
      </c>
      <c r="F428">
        <v>551.47728689999997</v>
      </c>
      <c r="G428">
        <v>102.21525459999999</v>
      </c>
      <c r="H428">
        <v>23.957047379999999</v>
      </c>
      <c r="J428" s="1">
        <v>45470</v>
      </c>
    </row>
    <row r="429" spans="1:10" x14ac:dyDescent="0.3">
      <c r="A429">
        <v>634</v>
      </c>
      <c r="C429" t="s">
        <v>41</v>
      </c>
      <c r="D429">
        <v>50.96749895</v>
      </c>
      <c r="E429">
        <v>444.02575259999998</v>
      </c>
      <c r="F429">
        <v>599.93028389999995</v>
      </c>
      <c r="G429">
        <v>176.96124929999999</v>
      </c>
      <c r="H429">
        <v>25.985959829999999</v>
      </c>
      <c r="I429" t="s">
        <v>16</v>
      </c>
      <c r="J429" s="1">
        <v>45560</v>
      </c>
    </row>
    <row r="430" spans="1:10" x14ac:dyDescent="0.3">
      <c r="A430">
        <v>831</v>
      </c>
      <c r="C430" t="s">
        <v>19</v>
      </c>
      <c r="D430">
        <v>71.052024009999997</v>
      </c>
      <c r="E430">
        <v>308.19003989999999</v>
      </c>
      <c r="F430">
        <v>538.200155</v>
      </c>
      <c r="G430">
        <v>124.7348969</v>
      </c>
      <c r="H430">
        <v>27.126017910000002</v>
      </c>
      <c r="I430" t="s">
        <v>18</v>
      </c>
      <c r="J430" s="1">
        <v>45757</v>
      </c>
    </row>
    <row r="431" spans="1:10" x14ac:dyDescent="0.3">
      <c r="A431">
        <v>945</v>
      </c>
      <c r="B431" t="s">
        <v>42</v>
      </c>
      <c r="D431">
        <v>68.913878499999996</v>
      </c>
      <c r="E431">
        <v>642.91170190000003</v>
      </c>
      <c r="F431">
        <v>574.17379010000002</v>
      </c>
      <c r="G431">
        <v>149.3485244</v>
      </c>
      <c r="H431">
        <v>35.951760139999998</v>
      </c>
      <c r="I431" t="s">
        <v>18</v>
      </c>
      <c r="J431" s="1">
        <v>45871</v>
      </c>
    </row>
    <row r="432" spans="1:10" x14ac:dyDescent="0.3">
      <c r="A432">
        <v>339</v>
      </c>
      <c r="B432" t="s">
        <v>14</v>
      </c>
      <c r="C432" t="s">
        <v>17</v>
      </c>
      <c r="F432">
        <v>624.71472210000002</v>
      </c>
      <c r="G432">
        <v>240.72124489999999</v>
      </c>
      <c r="H432">
        <v>33.04914539</v>
      </c>
      <c r="I432" t="s">
        <v>16</v>
      </c>
      <c r="J432" s="1">
        <v>45265</v>
      </c>
    </row>
    <row r="433" spans="1:10" x14ac:dyDescent="0.3">
      <c r="A433">
        <v>52</v>
      </c>
      <c r="B433" t="s">
        <v>13</v>
      </c>
      <c r="C433" t="s">
        <v>11</v>
      </c>
      <c r="D433">
        <v>49.138615549999997</v>
      </c>
      <c r="E433">
        <v>486.52314209999997</v>
      </c>
      <c r="F433">
        <v>417.7670425</v>
      </c>
      <c r="G433">
        <v>285.23255030000001</v>
      </c>
      <c r="H433">
        <v>33.132973999999997</v>
      </c>
      <c r="J433" s="1">
        <v>44978</v>
      </c>
    </row>
    <row r="434" spans="1:10" x14ac:dyDescent="0.3">
      <c r="A434">
        <v>384</v>
      </c>
      <c r="B434" t="s">
        <v>42</v>
      </c>
      <c r="C434" t="s">
        <v>11</v>
      </c>
      <c r="D434">
        <v>37.175013790000001</v>
      </c>
      <c r="E434">
        <v>399.85629230000001</v>
      </c>
      <c r="F434">
        <v>461.33211669999997</v>
      </c>
      <c r="G434">
        <v>195.8569664</v>
      </c>
      <c r="H434">
        <v>32.684878480000002</v>
      </c>
      <c r="I434" t="s">
        <v>18</v>
      </c>
      <c r="J434" s="1">
        <v>45310</v>
      </c>
    </row>
    <row r="435" spans="1:10" x14ac:dyDescent="0.3">
      <c r="A435">
        <v>528</v>
      </c>
      <c r="B435" t="s">
        <v>14</v>
      </c>
      <c r="C435" t="s">
        <v>19</v>
      </c>
      <c r="D435">
        <v>40.732868979999999</v>
      </c>
      <c r="E435">
        <v>462.38676190000001</v>
      </c>
      <c r="F435">
        <v>441.18745589999997</v>
      </c>
      <c r="G435">
        <v>181.3285152</v>
      </c>
      <c r="H435">
        <v>31.927365349999999</v>
      </c>
      <c r="I435" t="s">
        <v>16</v>
      </c>
      <c r="J435" s="1">
        <v>45454</v>
      </c>
    </row>
    <row r="436" spans="1:10" x14ac:dyDescent="0.3">
      <c r="A436">
        <v>939</v>
      </c>
      <c r="B436" t="s">
        <v>42</v>
      </c>
      <c r="C436" t="s">
        <v>19</v>
      </c>
      <c r="D436">
        <v>48.493940809999998</v>
      </c>
      <c r="E436">
        <v>524.91786720000005</v>
      </c>
      <c r="F436">
        <v>618.13552870000001</v>
      </c>
      <c r="G436">
        <v>210.050749</v>
      </c>
      <c r="H436">
        <v>33.565861830000003</v>
      </c>
      <c r="I436" t="s">
        <v>16</v>
      </c>
      <c r="J436" s="1">
        <v>45865</v>
      </c>
    </row>
    <row r="437" spans="1:10" x14ac:dyDescent="0.3">
      <c r="A437">
        <v>888</v>
      </c>
      <c r="B437" t="s">
        <v>12</v>
      </c>
      <c r="C437" t="s">
        <v>41</v>
      </c>
      <c r="D437">
        <v>27.90848381</v>
      </c>
      <c r="E437">
        <v>544.50864709999996</v>
      </c>
      <c r="F437">
        <v>648.59307950000004</v>
      </c>
      <c r="G437">
        <v>229.4559089</v>
      </c>
      <c r="H437">
        <v>33.330172869999998</v>
      </c>
      <c r="I437" t="s">
        <v>40</v>
      </c>
      <c r="J437" s="1">
        <v>45814</v>
      </c>
    </row>
    <row r="438" spans="1:10" x14ac:dyDescent="0.3">
      <c r="A438">
        <v>265</v>
      </c>
      <c r="B438" t="s">
        <v>43</v>
      </c>
      <c r="D438">
        <v>57.471652239999997</v>
      </c>
      <c r="E438">
        <v>546.95718179999994</v>
      </c>
      <c r="F438">
        <v>608.74640920000002</v>
      </c>
      <c r="G438">
        <v>299.41669969999998</v>
      </c>
      <c r="H438">
        <v>30.52629851</v>
      </c>
      <c r="I438" t="s">
        <v>16</v>
      </c>
      <c r="J438" s="1">
        <v>45191</v>
      </c>
    </row>
    <row r="439" spans="1:10" x14ac:dyDescent="0.3">
      <c r="A439">
        <v>550</v>
      </c>
      <c r="B439" t="s">
        <v>42</v>
      </c>
      <c r="C439" t="s">
        <v>19</v>
      </c>
      <c r="D439">
        <v>42.490944499999998</v>
      </c>
      <c r="E439">
        <v>363.66273749999999</v>
      </c>
      <c r="F439">
        <v>671.89880210000001</v>
      </c>
      <c r="G439">
        <v>162.8612578</v>
      </c>
      <c r="H439">
        <v>18.771647810000001</v>
      </c>
      <c r="I439" t="s">
        <v>18</v>
      </c>
      <c r="J439" s="1">
        <v>45476</v>
      </c>
    </row>
    <row r="440" spans="1:10" x14ac:dyDescent="0.3">
      <c r="A440">
        <v>914</v>
      </c>
      <c r="B440" t="s">
        <v>13</v>
      </c>
      <c r="C440" t="s">
        <v>15</v>
      </c>
      <c r="D440">
        <v>58.456015139999998</v>
      </c>
      <c r="E440">
        <v>426.71071139999998</v>
      </c>
      <c r="F440">
        <v>428.51233480000002</v>
      </c>
      <c r="G440">
        <v>207.54554820000001</v>
      </c>
      <c r="H440">
        <v>34.802889520000001</v>
      </c>
      <c r="I440" t="s">
        <v>44</v>
      </c>
      <c r="J440" s="1">
        <v>45840</v>
      </c>
    </row>
    <row r="441" spans="1:10" x14ac:dyDescent="0.3">
      <c r="A441">
        <v>698</v>
      </c>
      <c r="B441" t="s">
        <v>10</v>
      </c>
      <c r="C441" t="s">
        <v>41</v>
      </c>
      <c r="D441">
        <v>55.367436230000003</v>
      </c>
      <c r="E441">
        <v>439.04321709999999</v>
      </c>
      <c r="F441">
        <v>483.49232499999999</v>
      </c>
      <c r="G441">
        <v>191.36315870000001</v>
      </c>
      <c r="H441">
        <v>36.593089630000001</v>
      </c>
      <c r="I441" t="s">
        <v>44</v>
      </c>
      <c r="J441" s="1">
        <v>45624</v>
      </c>
    </row>
    <row r="442" spans="1:10" x14ac:dyDescent="0.3">
      <c r="A442">
        <v>396</v>
      </c>
      <c r="B442" t="s">
        <v>42</v>
      </c>
      <c r="C442" t="s">
        <v>19</v>
      </c>
      <c r="D442">
        <v>42.71268319</v>
      </c>
      <c r="E442">
        <v>398.79051140000001</v>
      </c>
      <c r="F442">
        <v>520.59029850000002</v>
      </c>
      <c r="G442">
        <v>214.2237815</v>
      </c>
      <c r="H442">
        <v>28.34811968</v>
      </c>
      <c r="I442" t="s">
        <v>40</v>
      </c>
      <c r="J442" s="1">
        <v>45322</v>
      </c>
    </row>
    <row r="443" spans="1:10" x14ac:dyDescent="0.3">
      <c r="A443">
        <v>530</v>
      </c>
      <c r="B443" t="s">
        <v>13</v>
      </c>
      <c r="C443" t="s">
        <v>41</v>
      </c>
      <c r="D443">
        <v>45.77188039</v>
      </c>
      <c r="E443">
        <v>398.1750356</v>
      </c>
      <c r="F443">
        <v>540.89051129999996</v>
      </c>
      <c r="G443">
        <v>281.10874589999997</v>
      </c>
      <c r="H443">
        <v>28.535226919999999</v>
      </c>
      <c r="J443" s="1">
        <v>45456</v>
      </c>
    </row>
    <row r="444" spans="1:10" x14ac:dyDescent="0.3">
      <c r="A444">
        <v>869</v>
      </c>
      <c r="B444" t="s">
        <v>14</v>
      </c>
      <c r="D444">
        <v>156.0580889</v>
      </c>
      <c r="E444">
        <v>526.1950349</v>
      </c>
      <c r="F444">
        <v>434.35112909999998</v>
      </c>
      <c r="G444">
        <v>234.01077280000001</v>
      </c>
      <c r="H444">
        <v>26.094955280000001</v>
      </c>
      <c r="I444" t="s">
        <v>16</v>
      </c>
      <c r="J444" s="1">
        <v>45795</v>
      </c>
    </row>
    <row r="445" spans="1:10" x14ac:dyDescent="0.3">
      <c r="A445">
        <v>19</v>
      </c>
      <c r="B445" t="s">
        <v>12</v>
      </c>
      <c r="D445">
        <v>39.692824969999997</v>
      </c>
      <c r="E445">
        <v>486.47456749999998</v>
      </c>
      <c r="F445">
        <v>709.13023829999997</v>
      </c>
      <c r="G445">
        <v>203.84915710000001</v>
      </c>
      <c r="H445">
        <v>24.328597729999998</v>
      </c>
      <c r="I445" t="s">
        <v>44</v>
      </c>
      <c r="J445" s="1">
        <v>44945</v>
      </c>
    </row>
    <row r="446" spans="1:10" x14ac:dyDescent="0.3">
      <c r="A446">
        <v>732</v>
      </c>
      <c r="C446" t="s">
        <v>41</v>
      </c>
      <c r="D446">
        <v>55.964423400000001</v>
      </c>
      <c r="E446">
        <v>564.05335920000005</v>
      </c>
      <c r="F446">
        <v>648.81370270000002</v>
      </c>
      <c r="G446">
        <v>162.8056967</v>
      </c>
      <c r="H446">
        <v>12.305711369999999</v>
      </c>
      <c r="I446" t="s">
        <v>16</v>
      </c>
      <c r="J446" s="1">
        <v>45658</v>
      </c>
    </row>
    <row r="447" spans="1:10" x14ac:dyDescent="0.3">
      <c r="A447">
        <v>679</v>
      </c>
      <c r="B447" t="s">
        <v>10</v>
      </c>
      <c r="C447" t="s">
        <v>15</v>
      </c>
      <c r="D447" t="s">
        <v>45</v>
      </c>
      <c r="E447">
        <v>424.1914673</v>
      </c>
      <c r="F447">
        <v>299.01745749999998</v>
      </c>
      <c r="G447">
        <v>230.00594749999999</v>
      </c>
      <c r="H447">
        <v>29.749153660000001</v>
      </c>
      <c r="I447" t="s">
        <v>18</v>
      </c>
      <c r="J447" s="1">
        <v>45605</v>
      </c>
    </row>
    <row r="448" spans="1:10" x14ac:dyDescent="0.3">
      <c r="A448">
        <v>582</v>
      </c>
      <c r="B448" t="s">
        <v>12</v>
      </c>
      <c r="C448" t="s">
        <v>17</v>
      </c>
      <c r="D448">
        <v>39.233098310000003</v>
      </c>
      <c r="E448">
        <v>430.15112040000002</v>
      </c>
      <c r="F448">
        <v>532.04990650000002</v>
      </c>
      <c r="G448">
        <v>131.67761870000001</v>
      </c>
      <c r="H448">
        <v>23.05185165</v>
      </c>
      <c r="I448" t="s">
        <v>16</v>
      </c>
      <c r="J448" s="1">
        <v>45508</v>
      </c>
    </row>
    <row r="449" spans="1:10" x14ac:dyDescent="0.3">
      <c r="A449">
        <v>977</v>
      </c>
      <c r="B449" t="s">
        <v>12</v>
      </c>
      <c r="C449" t="s">
        <v>17</v>
      </c>
      <c r="D449">
        <v>59.614216849999998</v>
      </c>
      <c r="E449">
        <v>453.15661519999998</v>
      </c>
      <c r="F449">
        <v>662.24620230000005</v>
      </c>
      <c r="G449">
        <v>243.2622475</v>
      </c>
      <c r="H449">
        <v>34.978295060000001</v>
      </c>
      <c r="I449" t="s">
        <v>16</v>
      </c>
      <c r="J449" s="1">
        <v>45903</v>
      </c>
    </row>
    <row r="450" spans="1:10" x14ac:dyDescent="0.3">
      <c r="A450">
        <v>368</v>
      </c>
      <c r="B450" t="s">
        <v>10</v>
      </c>
      <c r="C450" t="s">
        <v>41</v>
      </c>
      <c r="D450">
        <v>46.998597160000003</v>
      </c>
      <c r="E450">
        <v>554.00242319999995</v>
      </c>
      <c r="F450">
        <v>477.6637561</v>
      </c>
      <c r="G450">
        <v>110.59672519999999</v>
      </c>
      <c r="H450">
        <v>22.819542439999999</v>
      </c>
      <c r="I450" t="s">
        <v>16</v>
      </c>
      <c r="J450" s="1">
        <v>45294</v>
      </c>
    </row>
    <row r="451" spans="1:10" x14ac:dyDescent="0.3">
      <c r="A451">
        <v>84</v>
      </c>
      <c r="B451" t="s">
        <v>42</v>
      </c>
      <c r="D451">
        <v>57.533257599999999</v>
      </c>
      <c r="E451">
        <v>518.90924940000002</v>
      </c>
      <c r="G451">
        <v>307.42414250000002</v>
      </c>
      <c r="H451">
        <v>30.946016520000001</v>
      </c>
      <c r="I451" t="s">
        <v>18</v>
      </c>
      <c r="J451" s="1">
        <v>45010</v>
      </c>
    </row>
    <row r="452" spans="1:10" x14ac:dyDescent="0.3">
      <c r="A452">
        <v>62</v>
      </c>
      <c r="B452" t="s">
        <v>12</v>
      </c>
      <c r="C452" t="s">
        <v>19</v>
      </c>
      <c r="D452">
        <v>42.014546840000001</v>
      </c>
      <c r="E452">
        <v>429.04277070000001</v>
      </c>
      <c r="F452">
        <v>535.39995539999995</v>
      </c>
      <c r="G452">
        <v>201.43954070000001</v>
      </c>
      <c r="H452">
        <v>32.607512630000002</v>
      </c>
      <c r="I452" t="s">
        <v>40</v>
      </c>
      <c r="J452" s="1">
        <v>44988</v>
      </c>
    </row>
    <row r="453" spans="1:10" x14ac:dyDescent="0.3">
      <c r="A453">
        <v>842</v>
      </c>
      <c r="C453" t="s">
        <v>11</v>
      </c>
      <c r="D453">
        <v>51.43339168</v>
      </c>
      <c r="E453">
        <v>497.53427190000002</v>
      </c>
      <c r="F453">
        <v>304.46804309999999</v>
      </c>
      <c r="G453">
        <v>193.18345790000001</v>
      </c>
      <c r="H453">
        <v>30.256927050000002</v>
      </c>
      <c r="I453" t="s">
        <v>16</v>
      </c>
      <c r="J453" s="1">
        <v>45768</v>
      </c>
    </row>
    <row r="454" spans="1:10" x14ac:dyDescent="0.3">
      <c r="A454">
        <v>273</v>
      </c>
      <c r="B454" t="s">
        <v>12</v>
      </c>
      <c r="C454" t="s">
        <v>11</v>
      </c>
      <c r="D454">
        <v>72.226956290000004</v>
      </c>
      <c r="E454">
        <v>424.2007777</v>
      </c>
      <c r="F454">
        <v>457.72590380000003</v>
      </c>
      <c r="G454">
        <v>207.51443159999999</v>
      </c>
      <c r="H454">
        <v>25.778357759999999</v>
      </c>
      <c r="I454" t="s">
        <v>44</v>
      </c>
      <c r="J454" s="1">
        <v>45199</v>
      </c>
    </row>
    <row r="455" spans="1:10" x14ac:dyDescent="0.3">
      <c r="A455">
        <v>286</v>
      </c>
      <c r="B455" t="s">
        <v>42</v>
      </c>
      <c r="C455" t="s">
        <v>41</v>
      </c>
      <c r="D455">
        <v>49.979162029999998</v>
      </c>
      <c r="E455">
        <v>375.51687620000001</v>
      </c>
      <c r="F455">
        <v>480.06000779999999</v>
      </c>
      <c r="G455">
        <v>172.65959549999999</v>
      </c>
      <c r="H455">
        <v>39.174100719999998</v>
      </c>
      <c r="I455" t="s">
        <v>16</v>
      </c>
      <c r="J455" s="1">
        <v>45212</v>
      </c>
    </row>
    <row r="456" spans="1:10" x14ac:dyDescent="0.3">
      <c r="A456">
        <v>361</v>
      </c>
      <c r="B456" t="s">
        <v>42</v>
      </c>
      <c r="D456">
        <v>39.634240839999997</v>
      </c>
      <c r="E456">
        <v>581.60728429999995</v>
      </c>
      <c r="F456">
        <v>377.60360320000001</v>
      </c>
      <c r="G456">
        <v>113.9412087</v>
      </c>
      <c r="H456">
        <v>25.89257572</v>
      </c>
      <c r="I456" t="s">
        <v>16</v>
      </c>
      <c r="J456" s="1">
        <v>45287</v>
      </c>
    </row>
    <row r="457" spans="1:10" x14ac:dyDescent="0.3">
      <c r="A457">
        <v>355</v>
      </c>
      <c r="B457" t="s">
        <v>42</v>
      </c>
      <c r="C457" t="s">
        <v>15</v>
      </c>
      <c r="D457">
        <v>55.684410059999998</v>
      </c>
      <c r="E457">
        <v>503.3327926</v>
      </c>
      <c r="F457">
        <v>605.43012180000005</v>
      </c>
      <c r="G457">
        <v>205.08426979999999</v>
      </c>
      <c r="H457">
        <v>40.06849459</v>
      </c>
      <c r="I457" t="s">
        <v>16</v>
      </c>
      <c r="J457" s="1">
        <v>45281</v>
      </c>
    </row>
    <row r="458" spans="1:10" x14ac:dyDescent="0.3">
      <c r="A458">
        <v>482</v>
      </c>
      <c r="B458" t="s">
        <v>12</v>
      </c>
      <c r="C458" t="s">
        <v>41</v>
      </c>
      <c r="D458">
        <v>47.89629841</v>
      </c>
      <c r="E458">
        <v>491.3244249</v>
      </c>
      <c r="F458">
        <v>549.21525889999998</v>
      </c>
      <c r="G458">
        <v>98.817301099999995</v>
      </c>
      <c r="H458">
        <v>24.769604919999999</v>
      </c>
      <c r="J458" s="1">
        <v>45408</v>
      </c>
    </row>
    <row r="459" spans="1:10" x14ac:dyDescent="0.3">
      <c r="A459">
        <v>279</v>
      </c>
      <c r="B459" t="s">
        <v>13</v>
      </c>
      <c r="C459" t="s">
        <v>15</v>
      </c>
      <c r="D459">
        <v>62.245844380000001</v>
      </c>
      <c r="E459">
        <v>510.0520095</v>
      </c>
      <c r="F459">
        <v>414.49888970000001</v>
      </c>
      <c r="G459">
        <v>157.44184300000001</v>
      </c>
      <c r="H459">
        <v>27.969996680000001</v>
      </c>
      <c r="J459" s="1">
        <v>45205</v>
      </c>
    </row>
    <row r="460" spans="1:10" x14ac:dyDescent="0.3">
      <c r="A460">
        <v>13</v>
      </c>
      <c r="B460" t="s">
        <v>13</v>
      </c>
      <c r="C460" t="s">
        <v>41</v>
      </c>
      <c r="D460">
        <v>54.599290259999997</v>
      </c>
      <c r="E460">
        <v>619.39562599999999</v>
      </c>
      <c r="F460">
        <v>494.74121259999998</v>
      </c>
      <c r="G460">
        <v>324.24849769999997</v>
      </c>
      <c r="H460">
        <v>25.414222540000001</v>
      </c>
      <c r="I460" t="s">
        <v>18</v>
      </c>
      <c r="J460" s="1">
        <v>44939</v>
      </c>
    </row>
    <row r="461" spans="1:10" x14ac:dyDescent="0.3">
      <c r="A461">
        <v>183</v>
      </c>
      <c r="B461" t="s">
        <v>42</v>
      </c>
      <c r="C461" t="s">
        <v>19</v>
      </c>
      <c r="D461">
        <v>60.051425729999998</v>
      </c>
      <c r="E461">
        <v>598.86691689999998</v>
      </c>
      <c r="F461">
        <v>409.10194819999998</v>
      </c>
      <c r="G461">
        <v>185.90988100000001</v>
      </c>
      <c r="H461">
        <v>23.83193288</v>
      </c>
      <c r="J461" s="1">
        <v>45109</v>
      </c>
    </row>
    <row r="462" spans="1:10" x14ac:dyDescent="0.3">
      <c r="B462" t="s">
        <v>14</v>
      </c>
      <c r="C462" t="s">
        <v>19</v>
      </c>
      <c r="D462">
        <v>43.495869650000003</v>
      </c>
      <c r="E462">
        <v>370.08833559999999</v>
      </c>
      <c r="F462">
        <v>379.4748682</v>
      </c>
      <c r="G462">
        <v>246.59672710000001</v>
      </c>
      <c r="H462">
        <v>28.69912325</v>
      </c>
      <c r="I462" t="s">
        <v>16</v>
      </c>
      <c r="J462" s="1">
        <v>45295</v>
      </c>
    </row>
    <row r="463" spans="1:10" x14ac:dyDescent="0.3">
      <c r="A463">
        <v>600</v>
      </c>
      <c r="B463" t="s">
        <v>12</v>
      </c>
      <c r="C463" t="s">
        <v>11</v>
      </c>
      <c r="D463">
        <v>54.017712830000001</v>
      </c>
      <c r="E463">
        <v>421.05546399999997</v>
      </c>
      <c r="F463">
        <v>436.78728569999998</v>
      </c>
      <c r="G463">
        <v>184.75388939999999</v>
      </c>
      <c r="H463">
        <v>40.678130510000003</v>
      </c>
      <c r="I463" t="s">
        <v>18</v>
      </c>
      <c r="J463" s="1">
        <v>45526</v>
      </c>
    </row>
    <row r="464" spans="1:10" x14ac:dyDescent="0.3">
      <c r="A464">
        <v>631</v>
      </c>
      <c r="B464" t="s">
        <v>43</v>
      </c>
      <c r="C464" t="s">
        <v>15</v>
      </c>
      <c r="D464">
        <v>52.470773780000002</v>
      </c>
      <c r="E464">
        <v>549.61649060000002</v>
      </c>
      <c r="F464">
        <v>640.4304525</v>
      </c>
      <c r="G464">
        <v>261.39686740000002</v>
      </c>
      <c r="H464">
        <v>39.878679339999998</v>
      </c>
      <c r="J464" s="1">
        <v>45557</v>
      </c>
    </row>
    <row r="465" spans="1:10" x14ac:dyDescent="0.3">
      <c r="A465">
        <v>224</v>
      </c>
      <c r="B465" t="s">
        <v>14</v>
      </c>
      <c r="C465" t="s">
        <v>15</v>
      </c>
      <c r="D465">
        <v>55.754686669999998</v>
      </c>
      <c r="E465">
        <v>337.36806460000003</v>
      </c>
      <c r="F465">
        <v>396.49662960000001</v>
      </c>
      <c r="G465">
        <v>249.11597409999999</v>
      </c>
      <c r="H465">
        <v>30.045703379999999</v>
      </c>
      <c r="I465" t="s">
        <v>18</v>
      </c>
      <c r="J465" s="1">
        <v>45150</v>
      </c>
    </row>
    <row r="466" spans="1:10" x14ac:dyDescent="0.3">
      <c r="A466">
        <v>972</v>
      </c>
      <c r="C466" t="s">
        <v>41</v>
      </c>
      <c r="D466">
        <v>41.265903659999999</v>
      </c>
      <c r="E466">
        <v>372.06295039999998</v>
      </c>
      <c r="F466">
        <v>337.50415179999999</v>
      </c>
      <c r="G466">
        <v>250.08267520000001</v>
      </c>
      <c r="H466">
        <v>39.954473159999999</v>
      </c>
      <c r="I466" t="s">
        <v>44</v>
      </c>
      <c r="J466" s="1">
        <v>45898</v>
      </c>
    </row>
    <row r="467" spans="1:10" x14ac:dyDescent="0.3">
      <c r="A467">
        <v>715</v>
      </c>
      <c r="B467" t="s">
        <v>13</v>
      </c>
      <c r="C467" t="s">
        <v>15</v>
      </c>
      <c r="D467">
        <v>42.641960849999997</v>
      </c>
      <c r="E467">
        <v>376.46561830000002</v>
      </c>
      <c r="F467">
        <v>437.9147466</v>
      </c>
      <c r="G467">
        <v>227.93132660000001</v>
      </c>
      <c r="H467">
        <v>31.246851410000001</v>
      </c>
      <c r="I467" t="s">
        <v>44</v>
      </c>
      <c r="J467" s="1">
        <v>45641</v>
      </c>
    </row>
    <row r="468" spans="1:10" x14ac:dyDescent="0.3">
      <c r="A468">
        <v>778</v>
      </c>
      <c r="B468" t="s">
        <v>13</v>
      </c>
      <c r="C468" t="s">
        <v>17</v>
      </c>
      <c r="D468">
        <v>56.503817890000001</v>
      </c>
      <c r="E468">
        <v>633.08671800000002</v>
      </c>
      <c r="F468">
        <v>430.96369049999998</v>
      </c>
      <c r="G468">
        <v>194.07456389999999</v>
      </c>
      <c r="H468">
        <v>31.599048549999999</v>
      </c>
      <c r="I468" t="s">
        <v>16</v>
      </c>
      <c r="J468" s="1">
        <v>45704</v>
      </c>
    </row>
    <row r="469" spans="1:10" x14ac:dyDescent="0.3">
      <c r="A469">
        <v>558</v>
      </c>
      <c r="C469" t="s">
        <v>17</v>
      </c>
      <c r="D469">
        <v>43.120626129999998</v>
      </c>
      <c r="E469">
        <v>584.69970880000005</v>
      </c>
      <c r="F469">
        <v>351.60478119999999</v>
      </c>
      <c r="G469">
        <v>186.17551219999999</v>
      </c>
      <c r="H469">
        <v>31.445110249999999</v>
      </c>
      <c r="J469" s="1">
        <v>45484</v>
      </c>
    </row>
    <row r="470" spans="1:10" x14ac:dyDescent="0.3">
      <c r="A470">
        <v>466</v>
      </c>
      <c r="B470" t="s">
        <v>43</v>
      </c>
      <c r="D470">
        <v>63.111588859999998</v>
      </c>
      <c r="E470">
        <v>474.41588630000001</v>
      </c>
      <c r="F470">
        <v>409.25191389999998</v>
      </c>
      <c r="G470">
        <v>205.44018550000001</v>
      </c>
      <c r="H470">
        <v>22.130428940000002</v>
      </c>
      <c r="J470" s="1">
        <v>45392</v>
      </c>
    </row>
    <row r="471" spans="1:10" x14ac:dyDescent="0.3">
      <c r="A471">
        <v>598</v>
      </c>
      <c r="B471" t="s">
        <v>10</v>
      </c>
      <c r="C471" t="s">
        <v>15</v>
      </c>
      <c r="D471">
        <v>48.05054792</v>
      </c>
      <c r="E471">
        <v>408.31153080000001</v>
      </c>
      <c r="F471">
        <v>371.01525809999998</v>
      </c>
      <c r="G471">
        <v>128.6938816</v>
      </c>
      <c r="H471">
        <v>21.86057031</v>
      </c>
      <c r="I471" t="s">
        <v>18</v>
      </c>
      <c r="J471" s="1">
        <v>45524</v>
      </c>
    </row>
    <row r="472" spans="1:10" x14ac:dyDescent="0.3">
      <c r="A472">
        <v>708</v>
      </c>
      <c r="C472" t="s">
        <v>11</v>
      </c>
      <c r="D472">
        <v>54.834254880000003</v>
      </c>
      <c r="E472">
        <v>643.47349799999995</v>
      </c>
      <c r="F472">
        <v>393.36440069999998</v>
      </c>
      <c r="G472">
        <v>305.3559262</v>
      </c>
      <c r="H472">
        <v>28.522488549999998</v>
      </c>
      <c r="J472" s="1">
        <v>45634</v>
      </c>
    </row>
    <row r="473" spans="1:10" x14ac:dyDescent="0.3">
      <c r="A473">
        <v>177</v>
      </c>
      <c r="D473">
        <v>39.233394920000002</v>
      </c>
      <c r="E473">
        <v>476.23048749999998</v>
      </c>
      <c r="F473">
        <v>450.99004330000002</v>
      </c>
      <c r="G473">
        <v>284.2174258</v>
      </c>
      <c r="H473">
        <v>31.233606940000001</v>
      </c>
      <c r="I473" t="s">
        <v>44</v>
      </c>
      <c r="J473" s="1">
        <v>45103</v>
      </c>
    </row>
    <row r="474" spans="1:10" x14ac:dyDescent="0.3">
      <c r="A474">
        <v>681</v>
      </c>
      <c r="C474" t="s">
        <v>15</v>
      </c>
      <c r="D474">
        <v>53.174719349999997</v>
      </c>
      <c r="E474">
        <v>585.06476680000003</v>
      </c>
      <c r="F474">
        <v>477.23701749999998</v>
      </c>
      <c r="G474">
        <v>170.12371490000001</v>
      </c>
      <c r="H474">
        <v>33.061200069999998</v>
      </c>
      <c r="I474" t="s">
        <v>16</v>
      </c>
      <c r="J474" s="1">
        <v>45607</v>
      </c>
    </row>
    <row r="475" spans="1:10" x14ac:dyDescent="0.3">
      <c r="A475">
        <v>854</v>
      </c>
      <c r="B475" t="s">
        <v>12</v>
      </c>
      <c r="C475" t="s">
        <v>41</v>
      </c>
      <c r="D475">
        <v>49.327962200000002</v>
      </c>
      <c r="E475">
        <v>513.68218300000001</v>
      </c>
      <c r="F475">
        <v>336.5251475</v>
      </c>
      <c r="G475">
        <v>153.48471509999999</v>
      </c>
      <c r="H475">
        <v>27.031192220000001</v>
      </c>
      <c r="I475" t="s">
        <v>16</v>
      </c>
      <c r="J475" s="1">
        <v>45780</v>
      </c>
    </row>
    <row r="476" spans="1:10" x14ac:dyDescent="0.3">
      <c r="A476">
        <v>955</v>
      </c>
      <c r="B476" t="s">
        <v>42</v>
      </c>
      <c r="C476" t="s">
        <v>15</v>
      </c>
      <c r="D476">
        <v>31.962185779999999</v>
      </c>
      <c r="E476">
        <v>653.38549409999996</v>
      </c>
      <c r="F476">
        <v>343.74399649999998</v>
      </c>
      <c r="G476">
        <v>131.1692851</v>
      </c>
      <c r="H476">
        <v>29.08133363</v>
      </c>
      <c r="I476" t="s">
        <v>40</v>
      </c>
      <c r="J476" s="1">
        <v>45881</v>
      </c>
    </row>
    <row r="477" spans="1:10" x14ac:dyDescent="0.3">
      <c r="A477">
        <v>457</v>
      </c>
      <c r="B477" t="s">
        <v>42</v>
      </c>
      <c r="C477" t="s">
        <v>19</v>
      </c>
      <c r="D477">
        <v>56.802653790000001</v>
      </c>
      <c r="E477">
        <v>565.56014279999999</v>
      </c>
      <c r="F477">
        <v>645.49951060000001</v>
      </c>
      <c r="G477">
        <v>90.446296369999999</v>
      </c>
      <c r="H477">
        <v>35.460514809999999</v>
      </c>
      <c r="I477" t="s">
        <v>18</v>
      </c>
      <c r="J477" s="1">
        <v>45383</v>
      </c>
    </row>
    <row r="478" spans="1:10" x14ac:dyDescent="0.3">
      <c r="A478">
        <v>533</v>
      </c>
      <c r="D478">
        <v>57.198372910000003</v>
      </c>
      <c r="E478">
        <v>554.27043979999996</v>
      </c>
      <c r="F478">
        <v>312.74027469999999</v>
      </c>
      <c r="G478">
        <v>223.59311690000001</v>
      </c>
      <c r="H478">
        <v>33.098444610000001</v>
      </c>
      <c r="J478" s="1">
        <v>45459</v>
      </c>
    </row>
    <row r="479" spans="1:10" x14ac:dyDescent="0.3">
      <c r="A479">
        <v>394</v>
      </c>
      <c r="B479" t="s">
        <v>12</v>
      </c>
      <c r="C479" t="s">
        <v>15</v>
      </c>
      <c r="D479">
        <v>43.720715130000002</v>
      </c>
      <c r="E479">
        <v>472.01269139999999</v>
      </c>
      <c r="F479">
        <v>362.54229049999998</v>
      </c>
      <c r="G479">
        <v>229.08894799999999</v>
      </c>
      <c r="H479">
        <v>28.47264985</v>
      </c>
      <c r="I479" t="s">
        <v>16</v>
      </c>
      <c r="J479" s="1">
        <v>45320</v>
      </c>
    </row>
    <row r="480" spans="1:10" x14ac:dyDescent="0.3">
      <c r="A480">
        <v>164</v>
      </c>
      <c r="D480">
        <v>43.49286463</v>
      </c>
      <c r="E480">
        <v>236.11914999999999</v>
      </c>
      <c r="F480">
        <v>470.21726080000002</v>
      </c>
      <c r="G480">
        <v>270.91193909999998</v>
      </c>
      <c r="H480">
        <v>30.649159579999999</v>
      </c>
      <c r="I480" t="s">
        <v>18</v>
      </c>
      <c r="J480" s="1">
        <v>45090</v>
      </c>
    </row>
    <row r="481" spans="1:10" x14ac:dyDescent="0.3">
      <c r="A481">
        <v>249</v>
      </c>
      <c r="B481" t="s">
        <v>10</v>
      </c>
      <c r="C481" t="s">
        <v>17</v>
      </c>
      <c r="D481">
        <v>63.974147029999997</v>
      </c>
      <c r="E481">
        <v>491.5110181</v>
      </c>
      <c r="F481">
        <v>425.62729580000001</v>
      </c>
      <c r="G481">
        <v>189.73858089999999</v>
      </c>
      <c r="H481">
        <v>25.990453980000002</v>
      </c>
      <c r="I481" t="s">
        <v>40</v>
      </c>
      <c r="J481" s="1">
        <v>45175</v>
      </c>
    </row>
    <row r="482" spans="1:10" x14ac:dyDescent="0.3">
      <c r="A482">
        <v>650</v>
      </c>
      <c r="B482" t="s">
        <v>13</v>
      </c>
      <c r="C482" t="s">
        <v>11</v>
      </c>
      <c r="D482">
        <v>45.50423962</v>
      </c>
      <c r="E482">
        <v>711.01355820000003</v>
      </c>
      <c r="F482">
        <v>574.29744110000001</v>
      </c>
      <c r="G482">
        <v>126.1492569</v>
      </c>
      <c r="H482">
        <v>25.577535910000002</v>
      </c>
      <c r="I482" t="s">
        <v>18</v>
      </c>
      <c r="J482" s="1">
        <v>45576</v>
      </c>
    </row>
    <row r="483" spans="1:10" x14ac:dyDescent="0.3">
      <c r="A483">
        <v>903</v>
      </c>
      <c r="B483" t="s">
        <v>12</v>
      </c>
      <c r="C483" t="s">
        <v>17</v>
      </c>
      <c r="D483">
        <v>50.58351004</v>
      </c>
      <c r="E483">
        <v>529.61848050000003</v>
      </c>
      <c r="F483">
        <v>352.64477620000002</v>
      </c>
      <c r="G483">
        <v>166.1404881</v>
      </c>
      <c r="H483">
        <v>25.54811471</v>
      </c>
      <c r="I483" t="s">
        <v>16</v>
      </c>
      <c r="J483" s="1">
        <v>45829</v>
      </c>
    </row>
    <row r="484" spans="1:10" x14ac:dyDescent="0.3">
      <c r="A484">
        <v>685</v>
      </c>
      <c r="B484" t="s">
        <v>13</v>
      </c>
      <c r="C484" t="s">
        <v>17</v>
      </c>
      <c r="E484">
        <v>522.22661319999997</v>
      </c>
      <c r="F484">
        <v>598.82861439999999</v>
      </c>
      <c r="G484">
        <v>126.7651563</v>
      </c>
      <c r="H484">
        <v>31.75703334</v>
      </c>
      <c r="I484" t="s">
        <v>16</v>
      </c>
      <c r="J484" s="1">
        <v>45611</v>
      </c>
    </row>
    <row r="485" spans="1:10" x14ac:dyDescent="0.3">
      <c r="A485">
        <v>376</v>
      </c>
      <c r="B485" t="s">
        <v>13</v>
      </c>
      <c r="C485" t="s">
        <v>11</v>
      </c>
      <c r="D485">
        <v>50.539884180000001</v>
      </c>
      <c r="E485">
        <v>492.51240619999999</v>
      </c>
      <c r="F485">
        <v>643.93855540000004</v>
      </c>
      <c r="G485">
        <v>111.6494817</v>
      </c>
      <c r="H485">
        <v>30.465793900000001</v>
      </c>
      <c r="I485" t="s">
        <v>44</v>
      </c>
      <c r="J485" s="1">
        <v>45302</v>
      </c>
    </row>
    <row r="486" spans="1:10" x14ac:dyDescent="0.3">
      <c r="A486">
        <v>413</v>
      </c>
      <c r="B486" t="s">
        <v>42</v>
      </c>
      <c r="C486" t="s">
        <v>19</v>
      </c>
      <c r="D486">
        <v>46.084351939999998</v>
      </c>
      <c r="E486">
        <v>429.634545</v>
      </c>
      <c r="F486">
        <v>773.34993029999998</v>
      </c>
      <c r="G486">
        <v>203.9388864</v>
      </c>
      <c r="H486">
        <v>36.374886910000001</v>
      </c>
      <c r="I486" t="s">
        <v>16</v>
      </c>
      <c r="J486" s="1">
        <v>45339</v>
      </c>
    </row>
    <row r="487" spans="1:10" x14ac:dyDescent="0.3">
      <c r="A487">
        <v>75</v>
      </c>
      <c r="C487" t="s">
        <v>17</v>
      </c>
      <c r="D487">
        <v>46.304783829999998</v>
      </c>
      <c r="E487">
        <v>334.70813020000003</v>
      </c>
      <c r="F487">
        <v>686.81584080000005</v>
      </c>
      <c r="G487">
        <v>186.1840182</v>
      </c>
      <c r="H487">
        <v>27.222776039999999</v>
      </c>
      <c r="I487" t="s">
        <v>40</v>
      </c>
      <c r="J487" s="1">
        <v>45001</v>
      </c>
    </row>
    <row r="488" spans="1:10" x14ac:dyDescent="0.3">
      <c r="A488">
        <v>114</v>
      </c>
      <c r="B488" t="s">
        <v>10</v>
      </c>
      <c r="C488" t="s">
        <v>15</v>
      </c>
      <c r="D488">
        <v>60.624015100000001</v>
      </c>
      <c r="E488">
        <v>575.60533220000002</v>
      </c>
      <c r="F488">
        <v>522.11310060000005</v>
      </c>
      <c r="G488">
        <v>161.62441770000001</v>
      </c>
      <c r="H488">
        <v>20.468638389999999</v>
      </c>
      <c r="I488" t="s">
        <v>18</v>
      </c>
      <c r="J488" s="1">
        <v>45040</v>
      </c>
    </row>
    <row r="489" spans="1:10" x14ac:dyDescent="0.3">
      <c r="A489">
        <v>584</v>
      </c>
      <c r="B489" t="s">
        <v>43</v>
      </c>
      <c r="C489" t="s">
        <v>15</v>
      </c>
      <c r="D489">
        <v>52.61662973</v>
      </c>
      <c r="E489">
        <v>544.50358640000002</v>
      </c>
      <c r="F489">
        <v>693.43861519999996</v>
      </c>
      <c r="G489">
        <v>103.3354964</v>
      </c>
      <c r="H489">
        <v>32.708688240000001</v>
      </c>
      <c r="I489" t="s">
        <v>18</v>
      </c>
      <c r="J489" s="1">
        <v>45510</v>
      </c>
    </row>
    <row r="490" spans="1:10" x14ac:dyDescent="0.3">
      <c r="A490">
        <v>573</v>
      </c>
      <c r="B490" t="s">
        <v>43</v>
      </c>
      <c r="D490">
        <v>45.682042109999998</v>
      </c>
      <c r="E490">
        <v>422.03437200000002</v>
      </c>
      <c r="F490">
        <v>338.36596750000001</v>
      </c>
      <c r="G490">
        <v>254.52423619999999</v>
      </c>
      <c r="H490">
        <v>26.573747260000001</v>
      </c>
      <c r="I490" t="s">
        <v>16</v>
      </c>
      <c r="J490" s="1">
        <v>45499</v>
      </c>
    </row>
    <row r="491" spans="1:10" x14ac:dyDescent="0.3">
      <c r="A491">
        <v>391</v>
      </c>
      <c r="B491" t="s">
        <v>42</v>
      </c>
      <c r="C491" t="s">
        <v>15</v>
      </c>
      <c r="D491">
        <v>46.327757839999997</v>
      </c>
      <c r="E491">
        <v>524.36370469999997</v>
      </c>
      <c r="F491">
        <v>209.25000779999999</v>
      </c>
      <c r="G491">
        <v>169.851755</v>
      </c>
      <c r="H491">
        <v>34.559158889999999</v>
      </c>
      <c r="J491" s="1">
        <v>45317</v>
      </c>
    </row>
    <row r="492" spans="1:10" x14ac:dyDescent="0.3">
      <c r="A492">
        <v>105</v>
      </c>
      <c r="B492" t="s">
        <v>42</v>
      </c>
      <c r="D492">
        <v>63.768034929999999</v>
      </c>
      <c r="E492">
        <v>472.70245999999997</v>
      </c>
      <c r="F492">
        <v>481.70929969999997</v>
      </c>
      <c r="G492">
        <v>211.0404254</v>
      </c>
      <c r="H492">
        <v>25.631026890000001</v>
      </c>
      <c r="I492" t="s">
        <v>40</v>
      </c>
      <c r="J492" s="1">
        <v>45031</v>
      </c>
    </row>
    <row r="493" spans="1:10" x14ac:dyDescent="0.3">
      <c r="A493">
        <v>115</v>
      </c>
      <c r="B493" t="s">
        <v>10</v>
      </c>
      <c r="C493" t="s">
        <v>19</v>
      </c>
      <c r="D493">
        <v>27.655735580000002</v>
      </c>
      <c r="E493">
        <v>493.44523930000003</v>
      </c>
      <c r="F493">
        <v>675.16564870000002</v>
      </c>
      <c r="G493">
        <v>238.18488579999999</v>
      </c>
      <c r="H493">
        <v>32.145890600000001</v>
      </c>
      <c r="I493" t="s">
        <v>16</v>
      </c>
      <c r="J493" s="1">
        <v>45041</v>
      </c>
    </row>
    <row r="494" spans="1:10" x14ac:dyDescent="0.3">
      <c r="A494">
        <v>418</v>
      </c>
      <c r="B494" t="s">
        <v>14</v>
      </c>
      <c r="C494" t="s">
        <v>41</v>
      </c>
      <c r="D494">
        <v>38.813685720000002</v>
      </c>
      <c r="E494">
        <v>483.66791929999999</v>
      </c>
      <c r="F494">
        <v>436.60937030000002</v>
      </c>
      <c r="G494">
        <v>218.05998719999999</v>
      </c>
      <c r="H494">
        <v>20.209122860000001</v>
      </c>
      <c r="I494" t="s">
        <v>44</v>
      </c>
      <c r="J494" s="1">
        <v>45344</v>
      </c>
    </row>
    <row r="495" spans="1:10" x14ac:dyDescent="0.3">
      <c r="A495">
        <v>669</v>
      </c>
      <c r="B495" t="s">
        <v>13</v>
      </c>
      <c r="C495" t="s">
        <v>11</v>
      </c>
      <c r="D495">
        <v>43.527593619999998</v>
      </c>
      <c r="E495">
        <v>578.41275910000002</v>
      </c>
      <c r="F495">
        <v>634.83133550000002</v>
      </c>
      <c r="G495">
        <v>283.36911709999998</v>
      </c>
      <c r="H495">
        <v>28.849873460000001</v>
      </c>
      <c r="I495" t="s">
        <v>18</v>
      </c>
      <c r="J495" s="1">
        <v>45595</v>
      </c>
    </row>
    <row r="496" spans="1:10" x14ac:dyDescent="0.3">
      <c r="A496">
        <v>458</v>
      </c>
      <c r="C496" t="s">
        <v>17</v>
      </c>
      <c r="D496">
        <v>61.578148419999998</v>
      </c>
      <c r="E496">
        <v>346.34763850000002</v>
      </c>
      <c r="F496">
        <v>469.99438270000002</v>
      </c>
      <c r="G496">
        <v>183.24502609999999</v>
      </c>
      <c r="H496">
        <v>22.617681789999999</v>
      </c>
      <c r="I496" t="s">
        <v>44</v>
      </c>
      <c r="J496" s="1">
        <v>45384</v>
      </c>
    </row>
    <row r="497" spans="1:10" x14ac:dyDescent="0.3">
      <c r="A497">
        <v>410</v>
      </c>
      <c r="B497" t="s">
        <v>10</v>
      </c>
      <c r="C497" t="s">
        <v>19</v>
      </c>
      <c r="D497">
        <v>57.621984009999998</v>
      </c>
      <c r="E497">
        <v>413.1558971</v>
      </c>
      <c r="F497">
        <v>386.48452809999998</v>
      </c>
      <c r="G497">
        <v>161.41443899999999</v>
      </c>
      <c r="H497">
        <v>25.437461129999999</v>
      </c>
      <c r="I497" t="s">
        <v>18</v>
      </c>
      <c r="J497" s="1">
        <v>45336</v>
      </c>
    </row>
    <row r="498" spans="1:10" x14ac:dyDescent="0.3">
      <c r="A498">
        <v>93</v>
      </c>
      <c r="B498" t="s">
        <v>10</v>
      </c>
      <c r="C498" t="s">
        <v>11</v>
      </c>
      <c r="D498">
        <v>31.356684720000001</v>
      </c>
      <c r="E498">
        <v>426.11971310000001</v>
      </c>
      <c r="F498">
        <v>351.68557729999998</v>
      </c>
      <c r="G498">
        <v>161.48085309999999</v>
      </c>
      <c r="H498">
        <v>32.45533022</v>
      </c>
      <c r="J498" s="1">
        <v>45019</v>
      </c>
    </row>
    <row r="499" spans="1:10" x14ac:dyDescent="0.3">
      <c r="A499">
        <v>820</v>
      </c>
      <c r="B499" t="s">
        <v>43</v>
      </c>
      <c r="D499">
        <v>61.635087679999998</v>
      </c>
      <c r="E499">
        <v>605.18950570000004</v>
      </c>
      <c r="F499">
        <v>589.92123839999999</v>
      </c>
      <c r="G499">
        <v>231.77651</v>
      </c>
      <c r="H499">
        <v>26.618334239999999</v>
      </c>
      <c r="I499" t="s">
        <v>40</v>
      </c>
      <c r="J499" s="1">
        <v>45746</v>
      </c>
    </row>
    <row r="500" spans="1:10" x14ac:dyDescent="0.3">
      <c r="A500">
        <v>90</v>
      </c>
      <c r="C500" t="s">
        <v>17</v>
      </c>
      <c r="D500">
        <v>48.892665710000003</v>
      </c>
      <c r="E500">
        <v>636.97087780000004</v>
      </c>
      <c r="F500">
        <v>645.58064400000001</v>
      </c>
      <c r="G500">
        <v>198.47986169999999</v>
      </c>
      <c r="H500">
        <v>35.236758709999997</v>
      </c>
      <c r="J500" s="1">
        <v>45016</v>
      </c>
    </row>
    <row r="501" spans="1:10" x14ac:dyDescent="0.3">
      <c r="A501">
        <v>337</v>
      </c>
      <c r="B501" t="s">
        <v>13</v>
      </c>
      <c r="C501" t="s">
        <v>15</v>
      </c>
      <c r="D501">
        <v>39.294056619999999</v>
      </c>
      <c r="E501">
        <v>586.35966589999998</v>
      </c>
      <c r="F501">
        <v>381.87414289999998</v>
      </c>
      <c r="G501">
        <v>171.6744502</v>
      </c>
      <c r="H501">
        <v>35.565891469999997</v>
      </c>
      <c r="J501" s="1">
        <v>45263</v>
      </c>
    </row>
    <row r="502" spans="1:10" x14ac:dyDescent="0.3">
      <c r="A502">
        <v>319</v>
      </c>
      <c r="C502" t="s">
        <v>41</v>
      </c>
      <c r="D502">
        <v>40.850409319999997</v>
      </c>
      <c r="E502">
        <v>404.78211929999998</v>
      </c>
      <c r="F502">
        <v>482.98290050000003</v>
      </c>
      <c r="G502">
        <v>133.95373470000001</v>
      </c>
      <c r="H502">
        <v>32.306152470000001</v>
      </c>
      <c r="J502" s="1">
        <v>45245</v>
      </c>
    </row>
    <row r="503" spans="1:10" x14ac:dyDescent="0.3">
      <c r="A503">
        <v>940</v>
      </c>
      <c r="B503" t="s">
        <v>14</v>
      </c>
      <c r="D503">
        <v>42.862461439999997</v>
      </c>
      <c r="E503">
        <v>410.6506766</v>
      </c>
      <c r="F503">
        <v>453.71618230000001</v>
      </c>
      <c r="G503">
        <v>178.86427699999999</v>
      </c>
      <c r="H503">
        <v>28.856324870000002</v>
      </c>
      <c r="J503" s="1">
        <v>45866</v>
      </c>
    </row>
    <row r="504" spans="1:10" x14ac:dyDescent="0.3">
      <c r="A504">
        <v>952</v>
      </c>
      <c r="B504" t="s">
        <v>12</v>
      </c>
      <c r="C504" t="s">
        <v>41</v>
      </c>
      <c r="D504">
        <v>54.092583879999999</v>
      </c>
      <c r="E504">
        <v>511.38693999999998</v>
      </c>
      <c r="F504">
        <v>712.79860699999995</v>
      </c>
      <c r="G504">
        <v>166.92536279999999</v>
      </c>
      <c r="H504">
        <v>29.823049610000002</v>
      </c>
      <c r="I504" t="s">
        <v>40</v>
      </c>
      <c r="J504" s="1">
        <v>45878</v>
      </c>
    </row>
    <row r="505" spans="1:10" x14ac:dyDescent="0.3">
      <c r="A505">
        <v>884</v>
      </c>
      <c r="B505" t="s">
        <v>43</v>
      </c>
      <c r="D505">
        <v>43.852271350000002</v>
      </c>
      <c r="E505">
        <v>456.96145239999998</v>
      </c>
      <c r="F505">
        <v>357.00092230000001</v>
      </c>
      <c r="G505">
        <v>280.0649166</v>
      </c>
      <c r="H505">
        <v>25.268621840000002</v>
      </c>
      <c r="I505" t="s">
        <v>18</v>
      </c>
      <c r="J505" s="1">
        <v>45810</v>
      </c>
    </row>
    <row r="506" spans="1:10" x14ac:dyDescent="0.3">
      <c r="A506">
        <v>621</v>
      </c>
      <c r="B506" t="s">
        <v>13</v>
      </c>
      <c r="C506" t="s">
        <v>41</v>
      </c>
      <c r="D506">
        <v>41.597185690000003</v>
      </c>
      <c r="E506">
        <v>476.10871580000003</v>
      </c>
      <c r="F506">
        <v>542.70743049999999</v>
      </c>
      <c r="G506">
        <v>187.29482730000001</v>
      </c>
      <c r="H506">
        <v>40.090386909999999</v>
      </c>
      <c r="J506" s="1">
        <v>45547</v>
      </c>
    </row>
    <row r="507" spans="1:10" x14ac:dyDescent="0.3">
      <c r="A507">
        <v>790</v>
      </c>
      <c r="B507" t="s">
        <v>43</v>
      </c>
      <c r="C507" t="s">
        <v>19</v>
      </c>
      <c r="D507">
        <v>54.216844680000001</v>
      </c>
      <c r="E507">
        <v>611.2905667</v>
      </c>
      <c r="F507">
        <v>576.89542029999996</v>
      </c>
      <c r="G507">
        <v>219.10652519999999</v>
      </c>
      <c r="H507">
        <v>17.974652249999998</v>
      </c>
      <c r="I507" t="s">
        <v>40</v>
      </c>
      <c r="J507" s="1">
        <v>45716</v>
      </c>
    </row>
    <row r="508" spans="1:10" x14ac:dyDescent="0.3">
      <c r="A508">
        <v>627</v>
      </c>
      <c r="B508" t="s">
        <v>14</v>
      </c>
      <c r="C508" t="s">
        <v>41</v>
      </c>
      <c r="D508">
        <v>51.01644288</v>
      </c>
      <c r="E508">
        <v>481.5415337</v>
      </c>
      <c r="F508">
        <v>301.30242989999999</v>
      </c>
      <c r="G508">
        <v>183.06578379999999</v>
      </c>
      <c r="H508">
        <v>23.912599060000002</v>
      </c>
      <c r="I508" t="s">
        <v>16</v>
      </c>
      <c r="J508" s="1">
        <v>45553</v>
      </c>
    </row>
    <row r="509" spans="1:10" x14ac:dyDescent="0.3">
      <c r="A509">
        <v>95</v>
      </c>
      <c r="B509" t="s">
        <v>12</v>
      </c>
      <c r="C509" t="s">
        <v>15</v>
      </c>
      <c r="D509" t="s">
        <v>45</v>
      </c>
      <c r="E509">
        <v>316.66588350000001</v>
      </c>
      <c r="F509">
        <v>618.88155740000002</v>
      </c>
      <c r="G509">
        <v>209.6280117</v>
      </c>
      <c r="H509">
        <v>32.542427779999997</v>
      </c>
      <c r="I509" t="s">
        <v>18</v>
      </c>
      <c r="J509" s="1">
        <v>45021</v>
      </c>
    </row>
    <row r="510" spans="1:10" x14ac:dyDescent="0.3">
      <c r="A510">
        <v>12</v>
      </c>
      <c r="B510" t="s">
        <v>13</v>
      </c>
      <c r="C510" t="s">
        <v>17</v>
      </c>
      <c r="D510">
        <v>57.225400800000003</v>
      </c>
      <c r="E510">
        <v>473.0281468</v>
      </c>
      <c r="F510">
        <v>451.39941929999998</v>
      </c>
      <c r="G510">
        <v>164.7588915</v>
      </c>
      <c r="H510">
        <v>31.826854610000002</v>
      </c>
      <c r="I510" t="s">
        <v>16</v>
      </c>
      <c r="J510" s="1">
        <v>44938</v>
      </c>
    </row>
    <row r="511" spans="1:10" x14ac:dyDescent="0.3">
      <c r="A511">
        <v>397</v>
      </c>
      <c r="B511" t="s">
        <v>14</v>
      </c>
      <c r="C511" t="s">
        <v>17</v>
      </c>
      <c r="D511">
        <v>34.657013739999996</v>
      </c>
      <c r="E511">
        <v>537.65740149999999</v>
      </c>
      <c r="F511">
        <v>458.23375160000001</v>
      </c>
      <c r="G511">
        <v>251.75644579999999</v>
      </c>
      <c r="H511">
        <v>31.682691909999999</v>
      </c>
      <c r="I511" t="s">
        <v>16</v>
      </c>
      <c r="J511" s="1">
        <v>45323</v>
      </c>
    </row>
    <row r="512" spans="1:10" x14ac:dyDescent="0.3">
      <c r="A512">
        <v>546</v>
      </c>
      <c r="B512" t="s">
        <v>12</v>
      </c>
      <c r="C512" t="s">
        <v>11</v>
      </c>
      <c r="D512">
        <v>53.387205029999997</v>
      </c>
      <c r="E512">
        <v>453.31968810000001</v>
      </c>
      <c r="G512">
        <v>190.62815119999999</v>
      </c>
      <c r="H512">
        <v>29.316015480000001</v>
      </c>
      <c r="I512" t="s">
        <v>40</v>
      </c>
      <c r="J512" s="1">
        <v>45472</v>
      </c>
    </row>
    <row r="513" spans="1:10" x14ac:dyDescent="0.3">
      <c r="A513">
        <v>44</v>
      </c>
      <c r="B513" t="s">
        <v>42</v>
      </c>
      <c r="C513" t="s">
        <v>41</v>
      </c>
      <c r="D513">
        <v>45.967104980000002</v>
      </c>
      <c r="E513">
        <v>521.18170789999999</v>
      </c>
      <c r="F513">
        <v>558.38317329999995</v>
      </c>
      <c r="G513">
        <v>157.05936360000001</v>
      </c>
      <c r="H513">
        <v>25.199356309999999</v>
      </c>
      <c r="I513" t="s">
        <v>40</v>
      </c>
      <c r="J513" s="1">
        <v>44970</v>
      </c>
    </row>
    <row r="514" spans="1:10" x14ac:dyDescent="0.3">
      <c r="A514">
        <v>43</v>
      </c>
      <c r="C514" t="s">
        <v>11</v>
      </c>
      <c r="D514">
        <v>47.366780970000001</v>
      </c>
      <c r="E514">
        <v>423.29454930000003</v>
      </c>
      <c r="F514">
        <v>310.02796460000002</v>
      </c>
      <c r="G514">
        <v>259.16135869999999</v>
      </c>
      <c r="H514">
        <v>25.367664909999998</v>
      </c>
      <c r="I514" t="s">
        <v>16</v>
      </c>
      <c r="J514" s="1">
        <v>44969</v>
      </c>
    </row>
    <row r="515" spans="1:10" x14ac:dyDescent="0.3">
      <c r="A515">
        <v>168</v>
      </c>
      <c r="B515" t="s">
        <v>13</v>
      </c>
      <c r="C515" t="s">
        <v>11</v>
      </c>
      <c r="D515">
        <v>40.82840195</v>
      </c>
      <c r="E515">
        <v>501.50192270000002</v>
      </c>
      <c r="F515">
        <v>600.55114909999998</v>
      </c>
      <c r="G515">
        <v>237.49749850000001</v>
      </c>
      <c r="H515">
        <v>26.640662949999999</v>
      </c>
      <c r="J515" s="1">
        <v>45094</v>
      </c>
    </row>
    <row r="516" spans="1:10" x14ac:dyDescent="0.3">
      <c r="A516">
        <v>417</v>
      </c>
      <c r="B516" t="s">
        <v>10</v>
      </c>
      <c r="C516" t="s">
        <v>17</v>
      </c>
      <c r="D516">
        <v>51.088456299999997</v>
      </c>
      <c r="E516">
        <v>456.7762161</v>
      </c>
      <c r="F516">
        <v>379.9951729</v>
      </c>
      <c r="G516">
        <v>244.43865589999999</v>
      </c>
      <c r="H516">
        <v>28.255984229999999</v>
      </c>
      <c r="I516" t="s">
        <v>18</v>
      </c>
      <c r="J516" s="1">
        <v>45343</v>
      </c>
    </row>
    <row r="517" spans="1:10" x14ac:dyDescent="0.3">
      <c r="A517">
        <v>877</v>
      </c>
      <c r="B517" t="s">
        <v>43</v>
      </c>
      <c r="C517" t="s">
        <v>15</v>
      </c>
      <c r="D517">
        <v>58.313492670000002</v>
      </c>
      <c r="E517">
        <v>410.76746100000003</v>
      </c>
      <c r="F517">
        <v>515.71259310000005</v>
      </c>
      <c r="G517">
        <v>202.52681709999999</v>
      </c>
      <c r="H517">
        <v>29.29189508</v>
      </c>
      <c r="J517" s="1">
        <v>45803</v>
      </c>
    </row>
    <row r="518" spans="1:10" x14ac:dyDescent="0.3">
      <c r="A518">
        <v>427</v>
      </c>
      <c r="B518" t="s">
        <v>14</v>
      </c>
      <c r="D518">
        <v>134.8651505</v>
      </c>
      <c r="E518">
        <v>1882.2940510000001</v>
      </c>
      <c r="F518">
        <v>258.47420990000001</v>
      </c>
      <c r="G518">
        <v>168.83246600000001</v>
      </c>
      <c r="H518">
        <v>33.213283660000002</v>
      </c>
      <c r="I518" t="s">
        <v>18</v>
      </c>
      <c r="J518" s="1">
        <v>45353</v>
      </c>
    </row>
    <row r="519" spans="1:10" x14ac:dyDescent="0.3">
      <c r="A519">
        <v>900</v>
      </c>
      <c r="B519" t="s">
        <v>14</v>
      </c>
      <c r="D519">
        <v>57.589385999999998</v>
      </c>
      <c r="E519">
        <v>432.31707840000001</v>
      </c>
      <c r="F519">
        <v>313.98449859999999</v>
      </c>
      <c r="G519">
        <v>230.83805469999999</v>
      </c>
      <c r="H519">
        <v>36.54568321</v>
      </c>
      <c r="I519" t="s">
        <v>18</v>
      </c>
      <c r="J519" s="1">
        <v>45826</v>
      </c>
    </row>
    <row r="520" spans="1:10" x14ac:dyDescent="0.3">
      <c r="A520">
        <v>981</v>
      </c>
      <c r="B520" t="s">
        <v>42</v>
      </c>
      <c r="C520" t="s">
        <v>15</v>
      </c>
      <c r="D520">
        <v>47.947129089999997</v>
      </c>
      <c r="E520">
        <v>494.48017659999999</v>
      </c>
      <c r="F520">
        <v>411.43508969999999</v>
      </c>
      <c r="G520">
        <v>232.6411938</v>
      </c>
      <c r="H520">
        <v>27.16684038</v>
      </c>
      <c r="I520" t="s">
        <v>16</v>
      </c>
      <c r="J520" s="1">
        <v>45907</v>
      </c>
    </row>
    <row r="521" spans="1:10" x14ac:dyDescent="0.3">
      <c r="A521">
        <v>976</v>
      </c>
      <c r="B521" t="s">
        <v>42</v>
      </c>
      <c r="D521">
        <v>54.939518720000002</v>
      </c>
      <c r="E521">
        <v>374.86217540000001</v>
      </c>
      <c r="F521">
        <v>393.52487309999998</v>
      </c>
      <c r="G521">
        <v>155.04937219999999</v>
      </c>
      <c r="H521">
        <v>33.037828140000002</v>
      </c>
      <c r="J521" s="1">
        <v>45902</v>
      </c>
    </row>
    <row r="522" spans="1:10" x14ac:dyDescent="0.3">
      <c r="A522">
        <v>688</v>
      </c>
      <c r="B522" t="s">
        <v>14</v>
      </c>
      <c r="C522" t="s">
        <v>15</v>
      </c>
      <c r="D522">
        <v>49.946026240000002</v>
      </c>
      <c r="E522">
        <v>457.90611139999999</v>
      </c>
      <c r="F522">
        <v>566.07402969999998</v>
      </c>
      <c r="G522">
        <v>208.90870419999999</v>
      </c>
      <c r="H522">
        <v>29.444932690000002</v>
      </c>
      <c r="I522" t="s">
        <v>16</v>
      </c>
      <c r="J522" s="1">
        <v>45614</v>
      </c>
    </row>
    <row r="523" spans="1:10" x14ac:dyDescent="0.3">
      <c r="A523">
        <v>258</v>
      </c>
      <c r="B523" t="s">
        <v>13</v>
      </c>
      <c r="D523">
        <v>54.011922159999997</v>
      </c>
      <c r="E523">
        <v>656.22551320000002</v>
      </c>
      <c r="F523">
        <v>388.09678919999999</v>
      </c>
      <c r="G523">
        <v>207.32545999999999</v>
      </c>
      <c r="H523">
        <v>28.25617768</v>
      </c>
      <c r="I523" t="s">
        <v>44</v>
      </c>
      <c r="J523" s="1">
        <v>45184</v>
      </c>
    </row>
    <row r="524" spans="1:10" x14ac:dyDescent="0.3">
      <c r="A524">
        <v>336</v>
      </c>
      <c r="B524" t="s">
        <v>43</v>
      </c>
      <c r="C524" t="s">
        <v>17</v>
      </c>
      <c r="D524">
        <v>55.823959600000002</v>
      </c>
      <c r="E524">
        <v>380.1716614</v>
      </c>
      <c r="F524">
        <v>601.75744640000005</v>
      </c>
      <c r="G524">
        <v>182.941271</v>
      </c>
      <c r="H524">
        <v>28.115811600000001</v>
      </c>
      <c r="I524" t="s">
        <v>18</v>
      </c>
      <c r="J524" s="1">
        <v>45262</v>
      </c>
    </row>
    <row r="525" spans="1:10" x14ac:dyDescent="0.3">
      <c r="A525">
        <v>16</v>
      </c>
      <c r="B525" t="s">
        <v>13</v>
      </c>
      <c r="C525" t="s">
        <v>41</v>
      </c>
      <c r="D525">
        <v>53.232457629999999</v>
      </c>
      <c r="E525">
        <v>649.19196460000001</v>
      </c>
      <c r="F525">
        <v>565.81948809999994</v>
      </c>
      <c r="G525">
        <v>217.3318098</v>
      </c>
      <c r="H525">
        <v>30.99065826</v>
      </c>
      <c r="I525" t="s">
        <v>18</v>
      </c>
      <c r="J525" s="1">
        <v>44942</v>
      </c>
    </row>
    <row r="526" spans="1:10" x14ac:dyDescent="0.3">
      <c r="A526">
        <v>645</v>
      </c>
      <c r="B526" t="s">
        <v>12</v>
      </c>
      <c r="C526" t="s">
        <v>15</v>
      </c>
      <c r="D526">
        <v>41.91580175</v>
      </c>
      <c r="E526">
        <v>676.16889309999999</v>
      </c>
      <c r="F526">
        <v>480.02239980000002</v>
      </c>
      <c r="G526">
        <v>268.7392049</v>
      </c>
      <c r="H526">
        <v>22.398669600000002</v>
      </c>
      <c r="J526" s="1">
        <v>45571</v>
      </c>
    </row>
    <row r="527" spans="1:10" x14ac:dyDescent="0.3">
      <c r="A527">
        <v>325</v>
      </c>
      <c r="B527" t="s">
        <v>10</v>
      </c>
      <c r="D527">
        <v>44.660908990000003</v>
      </c>
      <c r="E527">
        <v>569.02368000000001</v>
      </c>
      <c r="F527">
        <v>650.18884260000004</v>
      </c>
      <c r="G527">
        <v>237.99613719999999</v>
      </c>
      <c r="H527">
        <v>28.18606836</v>
      </c>
      <c r="I527" t="s">
        <v>18</v>
      </c>
      <c r="J527" s="1">
        <v>45251</v>
      </c>
    </row>
    <row r="528" spans="1:10" x14ac:dyDescent="0.3">
      <c r="A528">
        <v>775</v>
      </c>
      <c r="B528" t="s">
        <v>42</v>
      </c>
      <c r="C528" t="s">
        <v>11</v>
      </c>
      <c r="D528">
        <v>37.879101079999998</v>
      </c>
      <c r="E528">
        <v>595.2598395</v>
      </c>
      <c r="F528">
        <v>452.59939980000001</v>
      </c>
      <c r="G528">
        <v>220.33637350000001</v>
      </c>
      <c r="H528">
        <v>29.332439390000001</v>
      </c>
      <c r="I528" t="s">
        <v>16</v>
      </c>
      <c r="J528" s="1">
        <v>45701</v>
      </c>
    </row>
    <row r="529" spans="1:10" x14ac:dyDescent="0.3">
      <c r="A529">
        <v>223</v>
      </c>
      <c r="B529" t="s">
        <v>42</v>
      </c>
      <c r="C529" t="s">
        <v>41</v>
      </c>
      <c r="D529">
        <v>80.664005270000004</v>
      </c>
      <c r="E529">
        <v>500.38030759999998</v>
      </c>
      <c r="F529">
        <v>537.8140449</v>
      </c>
      <c r="G529">
        <v>151.3923801</v>
      </c>
      <c r="H529">
        <v>24.16174109</v>
      </c>
      <c r="I529" t="s">
        <v>40</v>
      </c>
      <c r="J529" s="1">
        <v>45149</v>
      </c>
    </row>
    <row r="530" spans="1:10" x14ac:dyDescent="0.3">
      <c r="A530">
        <v>180</v>
      </c>
      <c r="B530" t="s">
        <v>10</v>
      </c>
      <c r="C530" t="s">
        <v>17</v>
      </c>
      <c r="D530">
        <v>66.311258519999996</v>
      </c>
      <c r="E530">
        <v>425.77704799999998</v>
      </c>
      <c r="F530">
        <v>488.3915121</v>
      </c>
      <c r="G530">
        <v>165.9558548</v>
      </c>
      <c r="H530">
        <v>28.329559209999999</v>
      </c>
      <c r="I530" t="s">
        <v>18</v>
      </c>
      <c r="J530" s="1">
        <v>45106</v>
      </c>
    </row>
    <row r="531" spans="1:10" x14ac:dyDescent="0.3">
      <c r="B531" t="s">
        <v>14</v>
      </c>
      <c r="C531" t="s">
        <v>19</v>
      </c>
      <c r="D531">
        <v>43.495869650000003</v>
      </c>
      <c r="E531">
        <v>370.08833559999999</v>
      </c>
      <c r="F531">
        <v>379.4748682</v>
      </c>
      <c r="G531">
        <v>246.59672710000001</v>
      </c>
      <c r="H531">
        <v>28.69912325</v>
      </c>
      <c r="I531" t="s">
        <v>16</v>
      </c>
      <c r="J531" s="1">
        <v>45295</v>
      </c>
    </row>
    <row r="532" spans="1:10" x14ac:dyDescent="0.3">
      <c r="A532">
        <v>522</v>
      </c>
      <c r="B532" t="s">
        <v>43</v>
      </c>
      <c r="D532">
        <v>59.002286589999997</v>
      </c>
      <c r="E532">
        <v>322.64956660000001</v>
      </c>
      <c r="F532">
        <v>358.52719719999999</v>
      </c>
      <c r="G532">
        <v>159.1035995</v>
      </c>
      <c r="I532" t="s">
        <v>40</v>
      </c>
      <c r="J532" s="1">
        <v>45448</v>
      </c>
    </row>
    <row r="533" spans="1:10" x14ac:dyDescent="0.3">
      <c r="A533">
        <v>23</v>
      </c>
      <c r="B533" t="s">
        <v>12</v>
      </c>
      <c r="C533" t="s">
        <v>15</v>
      </c>
      <c r="D533">
        <v>36.417288030000002</v>
      </c>
      <c r="E533">
        <v>695.70636409999997</v>
      </c>
      <c r="F533">
        <v>536.00594809999996</v>
      </c>
      <c r="G533">
        <v>255.8123195</v>
      </c>
      <c r="H533">
        <v>34.003827129999998</v>
      </c>
      <c r="I533" t="s">
        <v>16</v>
      </c>
      <c r="J533" s="1">
        <v>44949</v>
      </c>
    </row>
    <row r="534" spans="1:10" x14ac:dyDescent="0.3">
      <c r="A534">
        <v>357</v>
      </c>
      <c r="B534" t="s">
        <v>13</v>
      </c>
      <c r="D534">
        <v>44.9287694</v>
      </c>
      <c r="E534">
        <v>269.0816269</v>
      </c>
      <c r="F534">
        <v>444.474468</v>
      </c>
      <c r="G534">
        <v>269.73126939999997</v>
      </c>
      <c r="H534">
        <v>33.822391099999997</v>
      </c>
      <c r="I534" t="s">
        <v>18</v>
      </c>
      <c r="J534" s="1">
        <v>45283</v>
      </c>
    </row>
    <row r="535" spans="1:10" x14ac:dyDescent="0.3">
      <c r="A535">
        <v>962</v>
      </c>
      <c r="B535" t="s">
        <v>42</v>
      </c>
      <c r="C535" t="s">
        <v>11</v>
      </c>
      <c r="D535">
        <v>35.137229699999999</v>
      </c>
      <c r="E535">
        <v>353.77752600000002</v>
      </c>
      <c r="F535">
        <v>679.77621950000002</v>
      </c>
      <c r="G535">
        <v>186.274385</v>
      </c>
      <c r="H535">
        <v>32.347894480000001</v>
      </c>
      <c r="I535" t="s">
        <v>44</v>
      </c>
      <c r="J535" s="1">
        <v>45888</v>
      </c>
    </row>
    <row r="536" spans="1:10" x14ac:dyDescent="0.3">
      <c r="A536">
        <v>906</v>
      </c>
      <c r="B536" t="s">
        <v>42</v>
      </c>
      <c r="D536">
        <v>43.544305710000003</v>
      </c>
      <c r="E536">
        <v>568.88909320000005</v>
      </c>
      <c r="F536">
        <v>454.38334370000001</v>
      </c>
      <c r="G536">
        <v>213.4359264</v>
      </c>
      <c r="H536">
        <v>37.861531280000001</v>
      </c>
      <c r="I536" t="s">
        <v>40</v>
      </c>
      <c r="J536" s="1">
        <v>45832</v>
      </c>
    </row>
    <row r="537" spans="1:10" x14ac:dyDescent="0.3">
      <c r="B537" t="s">
        <v>13</v>
      </c>
      <c r="C537" t="s">
        <v>17</v>
      </c>
      <c r="D537">
        <v>50.871864039999998</v>
      </c>
      <c r="F537">
        <v>384.92419289999998</v>
      </c>
      <c r="G537">
        <v>180.88863810000001</v>
      </c>
      <c r="H537">
        <v>33.386042609999997</v>
      </c>
      <c r="I537" t="s">
        <v>44</v>
      </c>
      <c r="J537" s="1">
        <v>45267</v>
      </c>
    </row>
    <row r="538" spans="1:10" x14ac:dyDescent="0.3">
      <c r="A538">
        <v>432</v>
      </c>
      <c r="D538">
        <v>52.07093862</v>
      </c>
      <c r="E538">
        <v>507.74737190000002</v>
      </c>
      <c r="F538">
        <v>384.99487790000001</v>
      </c>
      <c r="G538">
        <v>261.10326370000001</v>
      </c>
      <c r="H538">
        <v>26.409805930000001</v>
      </c>
      <c r="I538" t="s">
        <v>16</v>
      </c>
      <c r="J538" s="1">
        <v>45358</v>
      </c>
    </row>
    <row r="539" spans="1:10" x14ac:dyDescent="0.3">
      <c r="A539">
        <v>774</v>
      </c>
      <c r="B539" t="s">
        <v>10</v>
      </c>
      <c r="C539" t="s">
        <v>41</v>
      </c>
      <c r="D539">
        <v>56.674607819999999</v>
      </c>
      <c r="E539">
        <v>681.99488510000003</v>
      </c>
      <c r="F539">
        <v>482.5272238</v>
      </c>
      <c r="G539">
        <v>279.42536469999999</v>
      </c>
      <c r="H539">
        <v>28.271668129999998</v>
      </c>
      <c r="J539" s="1">
        <v>45700</v>
      </c>
    </row>
    <row r="540" spans="1:10" x14ac:dyDescent="0.3">
      <c r="A540">
        <v>851</v>
      </c>
      <c r="B540" t="s">
        <v>10</v>
      </c>
      <c r="C540" t="s">
        <v>17</v>
      </c>
      <c r="D540">
        <v>47.798053729999999</v>
      </c>
      <c r="E540">
        <v>458.58788320000002</v>
      </c>
      <c r="F540">
        <v>574.84542299999998</v>
      </c>
      <c r="G540">
        <v>279.1277485</v>
      </c>
      <c r="H540">
        <v>29.141574609999999</v>
      </c>
      <c r="I540" t="s">
        <v>16</v>
      </c>
      <c r="J540" s="1">
        <v>45777</v>
      </c>
    </row>
    <row r="541" spans="1:10" x14ac:dyDescent="0.3">
      <c r="A541">
        <v>204</v>
      </c>
      <c r="B541" t="s">
        <v>42</v>
      </c>
      <c r="C541" t="s">
        <v>41</v>
      </c>
      <c r="D541">
        <v>46.96464014</v>
      </c>
      <c r="E541">
        <v>400.58199080000003</v>
      </c>
      <c r="F541">
        <v>318.52999199999999</v>
      </c>
      <c r="G541">
        <v>263.12449470000001</v>
      </c>
      <c r="H541">
        <v>27.746604919999999</v>
      </c>
      <c r="I541" t="s">
        <v>40</v>
      </c>
      <c r="J541" s="1">
        <v>45130</v>
      </c>
    </row>
    <row r="542" spans="1:10" x14ac:dyDescent="0.3">
      <c r="C542" t="s">
        <v>11</v>
      </c>
      <c r="D542">
        <v>39.054134599999998</v>
      </c>
      <c r="E542">
        <v>479.42314019999998</v>
      </c>
      <c r="F542">
        <v>401.66298189999998</v>
      </c>
      <c r="G542">
        <v>256.87695070000001</v>
      </c>
      <c r="H542">
        <v>31.087897680000001</v>
      </c>
      <c r="I542" t="s">
        <v>44</v>
      </c>
      <c r="J542" s="1">
        <v>45844</v>
      </c>
    </row>
    <row r="543" spans="1:10" x14ac:dyDescent="0.3">
      <c r="A543">
        <v>94</v>
      </c>
      <c r="B543" t="s">
        <v>12</v>
      </c>
      <c r="D543">
        <v>40.983992540000003</v>
      </c>
      <c r="E543">
        <v>588.99163329999999</v>
      </c>
      <c r="F543">
        <v>265.56651219999998</v>
      </c>
      <c r="G543">
        <v>138.49308780000001</v>
      </c>
      <c r="H543">
        <v>34.943272399999998</v>
      </c>
      <c r="I543" t="s">
        <v>18</v>
      </c>
      <c r="J543" s="1">
        <v>45020</v>
      </c>
    </row>
    <row r="544" spans="1:10" x14ac:dyDescent="0.3">
      <c r="A544">
        <v>571</v>
      </c>
      <c r="B544" t="s">
        <v>42</v>
      </c>
      <c r="C544" t="s">
        <v>41</v>
      </c>
      <c r="D544">
        <v>22.264371369999999</v>
      </c>
      <c r="E544">
        <v>471.8980353</v>
      </c>
      <c r="F544">
        <v>617.12398989999997</v>
      </c>
      <c r="G544">
        <v>260.88490719999999</v>
      </c>
      <c r="H544">
        <v>32.208143239999998</v>
      </c>
      <c r="I544" t="s">
        <v>44</v>
      </c>
      <c r="J544" s="1">
        <v>45497</v>
      </c>
    </row>
    <row r="545" spans="1:10" x14ac:dyDescent="0.3">
      <c r="A545">
        <v>69</v>
      </c>
      <c r="B545" t="s">
        <v>10</v>
      </c>
      <c r="C545" t="s">
        <v>11</v>
      </c>
      <c r="D545">
        <v>51.145333659999999</v>
      </c>
      <c r="E545">
        <v>472.16088289999999</v>
      </c>
      <c r="F545">
        <v>476.78017879999999</v>
      </c>
      <c r="G545">
        <v>196.94490429999999</v>
      </c>
      <c r="H545">
        <v>28.443260559999999</v>
      </c>
      <c r="I545" t="s">
        <v>40</v>
      </c>
      <c r="J545" s="1">
        <v>44995</v>
      </c>
    </row>
    <row r="546" spans="1:10" x14ac:dyDescent="0.3">
      <c r="A546">
        <v>755</v>
      </c>
      <c r="B546" t="s">
        <v>12</v>
      </c>
      <c r="C546" t="s">
        <v>19</v>
      </c>
      <c r="D546">
        <v>48.969767990000001</v>
      </c>
      <c r="E546">
        <v>569.18098220000002</v>
      </c>
      <c r="F546">
        <v>343.47144050000003</v>
      </c>
      <c r="G546">
        <v>228.3153269</v>
      </c>
      <c r="H546">
        <v>27.282634460000001</v>
      </c>
      <c r="J546" s="1">
        <v>45681</v>
      </c>
    </row>
    <row r="547" spans="1:10" x14ac:dyDescent="0.3">
      <c r="A547">
        <v>285</v>
      </c>
      <c r="B547" t="s">
        <v>12</v>
      </c>
      <c r="C547" t="s">
        <v>41</v>
      </c>
      <c r="D547">
        <v>53.143834939999998</v>
      </c>
      <c r="E547">
        <v>637.87097459999995</v>
      </c>
      <c r="F547">
        <v>387.22998530000001</v>
      </c>
      <c r="G547">
        <v>253.66247000000001</v>
      </c>
      <c r="H547">
        <v>32.657448440000003</v>
      </c>
      <c r="I547" t="s">
        <v>16</v>
      </c>
      <c r="J547" s="1">
        <v>45211</v>
      </c>
    </row>
    <row r="548" spans="1:10" x14ac:dyDescent="0.3">
      <c r="A548">
        <v>928</v>
      </c>
      <c r="C548" t="s">
        <v>17</v>
      </c>
      <c r="D548">
        <v>57.795667270000003</v>
      </c>
      <c r="E548">
        <v>522.14916229999994</v>
      </c>
      <c r="F548">
        <v>574.44370040000001</v>
      </c>
      <c r="G548">
        <v>179.28136689999999</v>
      </c>
      <c r="H548">
        <v>23.659281740000001</v>
      </c>
      <c r="I548" t="s">
        <v>44</v>
      </c>
      <c r="J548" s="1">
        <v>45854</v>
      </c>
    </row>
    <row r="549" spans="1:10" x14ac:dyDescent="0.3">
      <c r="A549">
        <v>435</v>
      </c>
      <c r="B549" t="s">
        <v>12</v>
      </c>
      <c r="C549" t="s">
        <v>19</v>
      </c>
      <c r="D549">
        <v>34.008635140000003</v>
      </c>
      <c r="E549">
        <v>435.72426969999998</v>
      </c>
      <c r="F549">
        <v>387.5115528</v>
      </c>
      <c r="G549">
        <v>238.1667075</v>
      </c>
      <c r="H549">
        <v>28.19211344</v>
      </c>
      <c r="I549" t="s">
        <v>18</v>
      </c>
      <c r="J549" s="1">
        <v>45361</v>
      </c>
    </row>
    <row r="550" spans="1:10" x14ac:dyDescent="0.3">
      <c r="A550">
        <v>154</v>
      </c>
      <c r="B550" t="s">
        <v>13</v>
      </c>
      <c r="D550">
        <v>54.525348919999999</v>
      </c>
      <c r="E550">
        <v>423.85924569999997</v>
      </c>
      <c r="F550">
        <v>453.03052550000001</v>
      </c>
      <c r="G550">
        <v>168.7561791</v>
      </c>
      <c r="H550">
        <v>30.912690479999998</v>
      </c>
      <c r="I550" t="s">
        <v>18</v>
      </c>
      <c r="J550" s="1">
        <v>45080</v>
      </c>
    </row>
    <row r="551" spans="1:10" x14ac:dyDescent="0.3">
      <c r="A551">
        <v>76</v>
      </c>
      <c r="B551" t="s">
        <v>13</v>
      </c>
      <c r="D551">
        <v>52.045493960000002</v>
      </c>
      <c r="E551">
        <v>620.31126459999996</v>
      </c>
      <c r="F551">
        <v>539.89026790000003</v>
      </c>
      <c r="G551">
        <v>159.19810519999999</v>
      </c>
      <c r="H551">
        <v>30.10932871</v>
      </c>
      <c r="I551" t="s">
        <v>16</v>
      </c>
    </row>
    <row r="552" spans="1:10" x14ac:dyDescent="0.3">
      <c r="A552">
        <v>747</v>
      </c>
      <c r="B552" t="s">
        <v>14</v>
      </c>
      <c r="D552">
        <v>44.34715224</v>
      </c>
      <c r="E552">
        <v>570.36416159999999</v>
      </c>
      <c r="F552">
        <v>472.68986009999998</v>
      </c>
      <c r="G552">
        <v>180.078192</v>
      </c>
      <c r="H552">
        <v>27.322214599999999</v>
      </c>
      <c r="I552" t="s">
        <v>40</v>
      </c>
      <c r="J552" s="1">
        <v>45673</v>
      </c>
    </row>
    <row r="553" spans="1:10" x14ac:dyDescent="0.3">
      <c r="A553">
        <v>447</v>
      </c>
      <c r="B553" t="s">
        <v>12</v>
      </c>
      <c r="C553" t="s">
        <v>17</v>
      </c>
      <c r="D553">
        <v>50.886466970000001</v>
      </c>
      <c r="E553">
        <v>491.66157249999998</v>
      </c>
      <c r="F553">
        <v>395.19242839999998</v>
      </c>
      <c r="G553">
        <v>194.78507440000001</v>
      </c>
      <c r="H553">
        <v>30.123993169999999</v>
      </c>
      <c r="J553" s="1">
        <v>45373</v>
      </c>
    </row>
    <row r="554" spans="1:10" x14ac:dyDescent="0.3">
      <c r="A554">
        <v>189</v>
      </c>
      <c r="B554" t="s">
        <v>13</v>
      </c>
      <c r="C554" t="s">
        <v>41</v>
      </c>
      <c r="D554">
        <v>33.152146049999999</v>
      </c>
      <c r="E554">
        <v>460.41712189999998</v>
      </c>
      <c r="F554">
        <v>561.28314260000002</v>
      </c>
      <c r="G554">
        <v>212.81109180000001</v>
      </c>
      <c r="H554">
        <v>28.374186340000001</v>
      </c>
      <c r="I554" t="s">
        <v>40</v>
      </c>
      <c r="J554" s="1">
        <v>45115</v>
      </c>
    </row>
    <row r="555" spans="1:10" x14ac:dyDescent="0.3">
      <c r="A555">
        <v>272</v>
      </c>
      <c r="B555" t="s">
        <v>10</v>
      </c>
      <c r="C555" t="s">
        <v>15</v>
      </c>
      <c r="D555">
        <v>42.179823630000001</v>
      </c>
      <c r="E555">
        <v>533.89936850000004</v>
      </c>
      <c r="F555">
        <v>477.2906471</v>
      </c>
      <c r="G555">
        <v>123.9435024</v>
      </c>
      <c r="H555">
        <v>34.054315580000001</v>
      </c>
      <c r="I555" t="s">
        <v>18</v>
      </c>
      <c r="J555" s="1">
        <v>45198</v>
      </c>
    </row>
    <row r="556" spans="1:10" x14ac:dyDescent="0.3">
      <c r="A556">
        <v>237</v>
      </c>
      <c r="B556" t="s">
        <v>12</v>
      </c>
      <c r="D556">
        <v>65.145175629999997</v>
      </c>
      <c r="E556">
        <v>504.79614459999999</v>
      </c>
      <c r="F556">
        <v>259.67136149999999</v>
      </c>
      <c r="G556">
        <v>233.85908430000001</v>
      </c>
      <c r="H556">
        <v>19.697784810000002</v>
      </c>
      <c r="I556" t="s">
        <v>16</v>
      </c>
      <c r="J556" s="1">
        <v>45163</v>
      </c>
    </row>
    <row r="557" spans="1:10" x14ac:dyDescent="0.3">
      <c r="A557">
        <v>488</v>
      </c>
      <c r="B557" t="s">
        <v>14</v>
      </c>
      <c r="C557" t="s">
        <v>15</v>
      </c>
      <c r="D557">
        <v>228.69909820000001</v>
      </c>
      <c r="E557">
        <v>556.79417430000001</v>
      </c>
      <c r="F557">
        <v>546.50696449999998</v>
      </c>
      <c r="G557">
        <v>175.72329809999999</v>
      </c>
      <c r="H557">
        <v>33.88986182</v>
      </c>
      <c r="I557" t="s">
        <v>44</v>
      </c>
      <c r="J557" s="1">
        <v>45414</v>
      </c>
    </row>
    <row r="558" spans="1:10" x14ac:dyDescent="0.3">
      <c r="A558">
        <v>118</v>
      </c>
      <c r="B558" t="s">
        <v>43</v>
      </c>
      <c r="C558" t="s">
        <v>17</v>
      </c>
      <c r="D558">
        <v>53.192233420000001</v>
      </c>
      <c r="E558">
        <v>367.19037379999997</v>
      </c>
      <c r="F558">
        <v>512.88328230000002</v>
      </c>
      <c r="G558">
        <v>171.20275939999999</v>
      </c>
      <c r="H558">
        <v>31.429434839999999</v>
      </c>
      <c r="I558" t="s">
        <v>18</v>
      </c>
      <c r="J558" s="1">
        <v>45044</v>
      </c>
    </row>
    <row r="559" spans="1:10" x14ac:dyDescent="0.3">
      <c r="A559">
        <v>836</v>
      </c>
      <c r="B559" t="s">
        <v>14</v>
      </c>
      <c r="C559" t="s">
        <v>11</v>
      </c>
      <c r="D559">
        <v>57.828702440000001</v>
      </c>
      <c r="E559">
        <v>393.6982008</v>
      </c>
      <c r="F559">
        <v>506.44221950000002</v>
      </c>
      <c r="G559">
        <v>184.52496189999999</v>
      </c>
      <c r="H559">
        <v>31.820542719999999</v>
      </c>
      <c r="I559" t="s">
        <v>44</v>
      </c>
      <c r="J559" s="1">
        <v>45762</v>
      </c>
    </row>
    <row r="560" spans="1:10" x14ac:dyDescent="0.3">
      <c r="A560">
        <v>513</v>
      </c>
      <c r="B560" t="s">
        <v>10</v>
      </c>
      <c r="C560" t="s">
        <v>15</v>
      </c>
      <c r="D560">
        <v>54.944434139999998</v>
      </c>
      <c r="E560">
        <v>714.13831189999996</v>
      </c>
      <c r="F560">
        <v>732.44077240000001</v>
      </c>
      <c r="G560">
        <v>231.88597490000001</v>
      </c>
      <c r="H560">
        <v>22.947863980000001</v>
      </c>
      <c r="I560" t="s">
        <v>18</v>
      </c>
      <c r="J560" s="1">
        <v>45439</v>
      </c>
    </row>
    <row r="561" spans="1:10" x14ac:dyDescent="0.3">
      <c r="A561">
        <v>143</v>
      </c>
      <c r="B561" t="s">
        <v>10</v>
      </c>
      <c r="C561" t="s">
        <v>17</v>
      </c>
      <c r="D561">
        <v>46.731192200000002</v>
      </c>
      <c r="E561">
        <v>472.69802390000001</v>
      </c>
      <c r="F561">
        <v>533.22020650000002</v>
      </c>
      <c r="G561">
        <v>208.35185000000001</v>
      </c>
      <c r="H561">
        <v>38.71188042</v>
      </c>
      <c r="I561" t="s">
        <v>18</v>
      </c>
      <c r="J561" s="1">
        <v>45069</v>
      </c>
    </row>
    <row r="562" spans="1:10" x14ac:dyDescent="0.3">
      <c r="A562">
        <v>686</v>
      </c>
      <c r="B562" t="s">
        <v>14</v>
      </c>
      <c r="C562" t="s">
        <v>15</v>
      </c>
      <c r="D562">
        <v>58.812847810000001</v>
      </c>
      <c r="E562">
        <v>452.06631390000001</v>
      </c>
      <c r="F562">
        <v>409.56411750000001</v>
      </c>
      <c r="G562">
        <v>265.74073220000002</v>
      </c>
      <c r="I562" t="s">
        <v>44</v>
      </c>
      <c r="J562" s="1">
        <v>45612</v>
      </c>
    </row>
    <row r="563" spans="1:10" x14ac:dyDescent="0.3">
      <c r="A563">
        <v>127</v>
      </c>
      <c r="D563">
        <v>29.04842477</v>
      </c>
      <c r="E563">
        <v>456.1890176</v>
      </c>
      <c r="F563">
        <v>762.02469599999995</v>
      </c>
      <c r="G563">
        <v>185.49812800000001</v>
      </c>
      <c r="H563">
        <v>20.489651760000001</v>
      </c>
      <c r="I563" t="s">
        <v>40</v>
      </c>
      <c r="J563" s="1">
        <v>45053</v>
      </c>
    </row>
    <row r="564" spans="1:10" x14ac:dyDescent="0.3">
      <c r="A564">
        <v>117</v>
      </c>
      <c r="B564" t="s">
        <v>14</v>
      </c>
      <c r="C564" t="s">
        <v>11</v>
      </c>
      <c r="D564">
        <v>38.444319520000001</v>
      </c>
      <c r="E564">
        <v>656.87786040000003</v>
      </c>
      <c r="F564">
        <v>444.16839149999998</v>
      </c>
      <c r="G564">
        <v>154.2859345</v>
      </c>
      <c r="H564">
        <v>28.891825570000002</v>
      </c>
      <c r="I564" t="s">
        <v>18</v>
      </c>
      <c r="J564" s="1">
        <v>45043</v>
      </c>
    </row>
    <row r="565" spans="1:10" x14ac:dyDescent="0.3">
      <c r="A565">
        <v>474</v>
      </c>
      <c r="B565" t="s">
        <v>14</v>
      </c>
      <c r="C565" t="s">
        <v>15</v>
      </c>
      <c r="D565">
        <v>178.93749260000001</v>
      </c>
      <c r="E565">
        <v>485.90720859999999</v>
      </c>
      <c r="F565">
        <v>412.88040740000002</v>
      </c>
      <c r="G565">
        <v>226.46531060000001</v>
      </c>
      <c r="H565">
        <v>27.960142609999998</v>
      </c>
      <c r="I565" t="s">
        <v>40</v>
      </c>
      <c r="J565" s="1">
        <v>45400</v>
      </c>
    </row>
    <row r="566" spans="1:10" x14ac:dyDescent="0.3">
      <c r="A566">
        <v>709</v>
      </c>
      <c r="B566" t="s">
        <v>10</v>
      </c>
      <c r="C566" t="s">
        <v>19</v>
      </c>
      <c r="D566">
        <v>44.534926050000003</v>
      </c>
      <c r="E566">
        <v>453.99237460000001</v>
      </c>
      <c r="F566">
        <v>581.46313199999997</v>
      </c>
      <c r="G566">
        <v>165.43076919999999</v>
      </c>
      <c r="H566">
        <v>29.46735447</v>
      </c>
      <c r="I566" t="s">
        <v>40</v>
      </c>
      <c r="J566" s="1">
        <v>45635</v>
      </c>
    </row>
    <row r="567" spans="1:10" x14ac:dyDescent="0.3">
      <c r="A567">
        <v>58</v>
      </c>
      <c r="B567" t="s">
        <v>10</v>
      </c>
      <c r="C567" t="s">
        <v>41</v>
      </c>
      <c r="D567">
        <v>56.233098069999997</v>
      </c>
      <c r="F567">
        <v>472.23989640000002</v>
      </c>
      <c r="G567">
        <v>193.66319820000001</v>
      </c>
      <c r="H567">
        <v>38.912271079999996</v>
      </c>
      <c r="J567" s="1">
        <v>44984</v>
      </c>
    </row>
    <row r="568" spans="1:10" x14ac:dyDescent="0.3">
      <c r="A568">
        <v>690</v>
      </c>
      <c r="B568" t="s">
        <v>42</v>
      </c>
      <c r="C568" t="s">
        <v>19</v>
      </c>
      <c r="D568">
        <v>55.054240929999999</v>
      </c>
      <c r="E568">
        <v>559.67827799999998</v>
      </c>
      <c r="F568">
        <v>530.78548490000003</v>
      </c>
      <c r="G568">
        <v>170.3263662</v>
      </c>
      <c r="H568">
        <v>34.131157450000003</v>
      </c>
      <c r="I568" t="s">
        <v>18</v>
      </c>
      <c r="J568" s="1">
        <v>45616</v>
      </c>
    </row>
    <row r="569" spans="1:10" x14ac:dyDescent="0.3">
      <c r="A569">
        <v>930</v>
      </c>
      <c r="B569" t="s">
        <v>43</v>
      </c>
      <c r="D569">
        <v>64.820224940000003</v>
      </c>
      <c r="E569">
        <v>588.67323599999997</v>
      </c>
      <c r="F569">
        <v>467.79359690000001</v>
      </c>
      <c r="G569">
        <v>160.05396719999999</v>
      </c>
      <c r="H569">
        <v>24.92185873</v>
      </c>
      <c r="I569" t="s">
        <v>16</v>
      </c>
      <c r="J569" s="1">
        <v>45856</v>
      </c>
    </row>
    <row r="570" spans="1:10" x14ac:dyDescent="0.3">
      <c r="A570">
        <v>370</v>
      </c>
      <c r="B570" t="s">
        <v>10</v>
      </c>
      <c r="C570" t="s">
        <v>41</v>
      </c>
      <c r="D570">
        <v>55.29693133</v>
      </c>
      <c r="E570">
        <v>377.77881910000002</v>
      </c>
      <c r="G570">
        <v>254.83261340000001</v>
      </c>
      <c r="H570">
        <v>26.717850179999999</v>
      </c>
      <c r="J570" s="1">
        <v>45296</v>
      </c>
    </row>
    <row r="571" spans="1:10" x14ac:dyDescent="0.3">
      <c r="A571">
        <v>269</v>
      </c>
      <c r="B571" t="s">
        <v>42</v>
      </c>
      <c r="D571">
        <v>68.195730470000001</v>
      </c>
      <c r="E571">
        <v>498.0250906</v>
      </c>
      <c r="F571">
        <v>454.91746799999999</v>
      </c>
      <c r="G571">
        <v>325.5769798</v>
      </c>
      <c r="H571">
        <v>33.800114710000003</v>
      </c>
      <c r="J571" s="1">
        <v>45195</v>
      </c>
    </row>
    <row r="572" spans="1:10" x14ac:dyDescent="0.3">
      <c r="A572">
        <v>47</v>
      </c>
      <c r="D572">
        <v>55.248887789999998</v>
      </c>
      <c r="E572">
        <v>335.97333609999998</v>
      </c>
      <c r="F572">
        <v>531.54755999999998</v>
      </c>
      <c r="G572">
        <v>229.84310909999999</v>
      </c>
      <c r="H572">
        <v>39.2896438</v>
      </c>
      <c r="I572" t="s">
        <v>18</v>
      </c>
      <c r="J572" s="1">
        <v>44973</v>
      </c>
    </row>
    <row r="573" spans="1:10" x14ac:dyDescent="0.3">
      <c r="A573">
        <v>350</v>
      </c>
      <c r="B573" t="s">
        <v>10</v>
      </c>
      <c r="C573" t="s">
        <v>15</v>
      </c>
      <c r="D573">
        <v>49.984494939999998</v>
      </c>
      <c r="E573">
        <v>510.53093209999997</v>
      </c>
      <c r="F573">
        <v>610.00085249999995</v>
      </c>
      <c r="G573">
        <v>196.6385219</v>
      </c>
      <c r="H573">
        <v>21.375415520000001</v>
      </c>
      <c r="I573" t="s">
        <v>16</v>
      </c>
      <c r="J573" s="1">
        <v>45276</v>
      </c>
    </row>
    <row r="574" spans="1:10" x14ac:dyDescent="0.3">
      <c r="A574">
        <v>196</v>
      </c>
      <c r="B574" t="s">
        <v>42</v>
      </c>
      <c r="C574" t="s">
        <v>19</v>
      </c>
      <c r="D574">
        <v>47.386000750000001</v>
      </c>
      <c r="E574">
        <v>495.88305229999997</v>
      </c>
      <c r="F574">
        <v>195.56970240000001</v>
      </c>
      <c r="G574">
        <v>174.25257350000001</v>
      </c>
      <c r="H574">
        <v>33.334361729999998</v>
      </c>
      <c r="I574" t="s">
        <v>18</v>
      </c>
      <c r="J574" s="1">
        <v>45122</v>
      </c>
    </row>
    <row r="575" spans="1:10" x14ac:dyDescent="0.3">
      <c r="A575">
        <v>497</v>
      </c>
      <c r="B575" t="s">
        <v>14</v>
      </c>
      <c r="C575" t="s">
        <v>41</v>
      </c>
      <c r="D575">
        <v>58.375627029999997</v>
      </c>
      <c r="E575">
        <v>359.95804399999997</v>
      </c>
      <c r="F575">
        <v>415.41165769999998</v>
      </c>
      <c r="G575">
        <v>237.3536422</v>
      </c>
      <c r="H575">
        <v>16.978265319999998</v>
      </c>
      <c r="I575" t="s">
        <v>18</v>
      </c>
      <c r="J575" s="1">
        <v>45423</v>
      </c>
    </row>
    <row r="576" spans="1:10" x14ac:dyDescent="0.3">
      <c r="A576">
        <v>852</v>
      </c>
      <c r="B576" t="s">
        <v>10</v>
      </c>
      <c r="C576" t="s">
        <v>41</v>
      </c>
      <c r="D576">
        <v>29.321452740000002</v>
      </c>
      <c r="E576">
        <v>580.58902290000003</v>
      </c>
      <c r="F576">
        <v>636.06322299999999</v>
      </c>
      <c r="G576">
        <v>187.12242140000001</v>
      </c>
      <c r="H576">
        <v>32.216190490000002</v>
      </c>
      <c r="J576" s="1">
        <v>45778</v>
      </c>
    </row>
    <row r="577" spans="1:10" x14ac:dyDescent="0.3">
      <c r="A577">
        <v>707</v>
      </c>
      <c r="B577" t="s">
        <v>42</v>
      </c>
      <c r="C577" t="s">
        <v>41</v>
      </c>
      <c r="D577">
        <v>47.344531619999998</v>
      </c>
      <c r="E577">
        <v>405.05756730000002</v>
      </c>
      <c r="F577">
        <v>528.23027460000003</v>
      </c>
      <c r="G577">
        <v>154.47796450000001</v>
      </c>
      <c r="H577">
        <v>21.59135732</v>
      </c>
      <c r="I577" t="s">
        <v>40</v>
      </c>
      <c r="J577" s="1">
        <v>45633</v>
      </c>
    </row>
    <row r="578" spans="1:10" x14ac:dyDescent="0.3">
      <c r="A578">
        <v>753</v>
      </c>
      <c r="B578" t="s">
        <v>12</v>
      </c>
      <c r="C578" t="s">
        <v>41</v>
      </c>
      <c r="D578">
        <v>34.81551056</v>
      </c>
      <c r="E578">
        <v>611.84576449999997</v>
      </c>
      <c r="F578">
        <v>481.82724250000001</v>
      </c>
      <c r="G578">
        <v>224.50398139999999</v>
      </c>
      <c r="H578">
        <v>31.426996880000001</v>
      </c>
      <c r="I578" t="s">
        <v>16</v>
      </c>
      <c r="J578" s="1">
        <v>45679</v>
      </c>
    </row>
    <row r="579" spans="1:10" x14ac:dyDescent="0.3">
      <c r="A579">
        <v>264</v>
      </c>
      <c r="C579" t="s">
        <v>11</v>
      </c>
      <c r="D579">
        <v>57.513759870000001</v>
      </c>
      <c r="E579">
        <v>391.5808609</v>
      </c>
      <c r="F579">
        <v>565.19149549999997</v>
      </c>
      <c r="G579">
        <v>245.17194309999999</v>
      </c>
      <c r="H579">
        <v>36.148775649999997</v>
      </c>
      <c r="I579" t="s">
        <v>18</v>
      </c>
      <c r="J579" s="1">
        <v>45190</v>
      </c>
    </row>
    <row r="580" spans="1:10" x14ac:dyDescent="0.3">
      <c r="A580">
        <v>444</v>
      </c>
      <c r="D580">
        <v>258.41975960000002</v>
      </c>
      <c r="E580">
        <v>1485.618091</v>
      </c>
      <c r="F580">
        <v>380.24750710000001</v>
      </c>
      <c r="G580">
        <v>177.18067690000001</v>
      </c>
      <c r="H580">
        <v>24.634107449999998</v>
      </c>
      <c r="I580" t="s">
        <v>40</v>
      </c>
      <c r="J580" s="1">
        <v>45370</v>
      </c>
    </row>
    <row r="581" spans="1:10" x14ac:dyDescent="0.3">
      <c r="A581">
        <v>959</v>
      </c>
      <c r="B581" t="s">
        <v>12</v>
      </c>
      <c r="C581" t="s">
        <v>15</v>
      </c>
      <c r="D581">
        <v>52.395765400000002</v>
      </c>
      <c r="E581">
        <v>550.54042730000003</v>
      </c>
      <c r="F581">
        <v>401.47177260000001</v>
      </c>
      <c r="G581">
        <v>154.92524470000001</v>
      </c>
      <c r="H581">
        <v>26.075618769999998</v>
      </c>
      <c r="I581" t="s">
        <v>16</v>
      </c>
      <c r="J581" s="1">
        <v>45885</v>
      </c>
    </row>
    <row r="582" spans="1:10" x14ac:dyDescent="0.3">
      <c r="A582">
        <v>305</v>
      </c>
      <c r="B582" t="s">
        <v>13</v>
      </c>
      <c r="C582" t="s">
        <v>41</v>
      </c>
      <c r="D582">
        <v>60.310629140000003</v>
      </c>
      <c r="E582">
        <v>540.90280540000003</v>
      </c>
      <c r="F582">
        <v>625.51298850000001</v>
      </c>
      <c r="G582">
        <v>162.48194860000001</v>
      </c>
      <c r="I582" t="s">
        <v>40</v>
      </c>
      <c r="J582" s="1">
        <v>45231</v>
      </c>
    </row>
    <row r="583" spans="1:10" x14ac:dyDescent="0.3">
      <c r="A583">
        <v>342</v>
      </c>
      <c r="B583" t="s">
        <v>13</v>
      </c>
      <c r="C583" t="s">
        <v>41</v>
      </c>
      <c r="D583">
        <v>57.080891219999998</v>
      </c>
      <c r="E583">
        <v>327.98974490000001</v>
      </c>
      <c r="F583">
        <v>432.1081375</v>
      </c>
      <c r="G583">
        <v>165.97520280000001</v>
      </c>
      <c r="H583">
        <v>24.602247940000002</v>
      </c>
      <c r="J583" s="1">
        <v>45268</v>
      </c>
    </row>
    <row r="584" spans="1:10" x14ac:dyDescent="0.3">
      <c r="B584" t="s">
        <v>10</v>
      </c>
      <c r="C584" t="s">
        <v>15</v>
      </c>
      <c r="D584">
        <v>44.265621779999996</v>
      </c>
      <c r="F584">
        <v>427.3504896</v>
      </c>
      <c r="G584">
        <v>215.97963250000001</v>
      </c>
      <c r="H584">
        <v>30.244345920000001</v>
      </c>
      <c r="J584" s="1">
        <v>45540</v>
      </c>
    </row>
    <row r="585" spans="1:10" x14ac:dyDescent="0.3">
      <c r="A585">
        <v>987</v>
      </c>
      <c r="B585" t="s">
        <v>12</v>
      </c>
      <c r="D585">
        <v>45.5208552</v>
      </c>
      <c r="E585">
        <v>582.47490070000003</v>
      </c>
      <c r="F585">
        <v>619.75001650000002</v>
      </c>
      <c r="G585">
        <v>197.44696669999999</v>
      </c>
      <c r="H585">
        <v>44.458514950000001</v>
      </c>
      <c r="I585" t="s">
        <v>40</v>
      </c>
      <c r="J585" s="1">
        <v>45913</v>
      </c>
    </row>
    <row r="586" spans="1:10" x14ac:dyDescent="0.3">
      <c r="A586">
        <v>150</v>
      </c>
      <c r="B586" t="s">
        <v>13</v>
      </c>
      <c r="C586" t="s">
        <v>15</v>
      </c>
      <c r="D586">
        <v>54.48390294</v>
      </c>
      <c r="E586">
        <v>581.00623040000005</v>
      </c>
      <c r="F586">
        <v>439.3807243</v>
      </c>
      <c r="G586">
        <v>238.51252239999999</v>
      </c>
      <c r="H586">
        <v>30.205625340000001</v>
      </c>
      <c r="I586" t="s">
        <v>40</v>
      </c>
      <c r="J586" s="1">
        <v>45076</v>
      </c>
    </row>
    <row r="587" spans="1:10" x14ac:dyDescent="0.3">
      <c r="A587">
        <v>125</v>
      </c>
      <c r="B587" t="s">
        <v>14</v>
      </c>
      <c r="C587" t="s">
        <v>19</v>
      </c>
      <c r="D587">
        <v>34.441013499999997</v>
      </c>
      <c r="E587">
        <v>520.33029439999996</v>
      </c>
      <c r="F587">
        <v>558.56119409999997</v>
      </c>
      <c r="G587">
        <v>141.33652219999999</v>
      </c>
      <c r="H587">
        <v>23.648102640000001</v>
      </c>
      <c r="I587" t="s">
        <v>18</v>
      </c>
      <c r="J587" s="1">
        <v>45051</v>
      </c>
    </row>
    <row r="588" spans="1:10" x14ac:dyDescent="0.3">
      <c r="A588">
        <v>803</v>
      </c>
      <c r="B588" t="s">
        <v>13</v>
      </c>
      <c r="C588" t="s">
        <v>17</v>
      </c>
      <c r="D588">
        <v>31.147999479999999</v>
      </c>
      <c r="E588">
        <v>528.86539310000001</v>
      </c>
      <c r="F588">
        <v>509.79287190000002</v>
      </c>
      <c r="G588">
        <v>233.05512680000001</v>
      </c>
      <c r="H588">
        <v>23.771287749999999</v>
      </c>
      <c r="I588" t="s">
        <v>18</v>
      </c>
      <c r="J588" s="1">
        <v>45729</v>
      </c>
    </row>
    <row r="589" spans="1:10" x14ac:dyDescent="0.3">
      <c r="A589">
        <v>870</v>
      </c>
      <c r="B589" t="s">
        <v>14</v>
      </c>
      <c r="C589" t="s">
        <v>15</v>
      </c>
      <c r="D589">
        <v>28.377807789999999</v>
      </c>
      <c r="E589">
        <v>374.4892251</v>
      </c>
      <c r="F589">
        <v>440.2826192</v>
      </c>
      <c r="H589">
        <v>31.299416170000001</v>
      </c>
      <c r="I589" t="s">
        <v>40</v>
      </c>
    </row>
    <row r="590" spans="1:10" x14ac:dyDescent="0.3">
      <c r="A590">
        <v>51</v>
      </c>
      <c r="B590" t="s">
        <v>43</v>
      </c>
      <c r="C590" t="s">
        <v>17</v>
      </c>
      <c r="D590">
        <v>47.308138679999999</v>
      </c>
      <c r="E590">
        <v>510.67871930000001</v>
      </c>
      <c r="F590">
        <v>618.42761140000005</v>
      </c>
      <c r="G590">
        <v>194.6940242</v>
      </c>
      <c r="H590">
        <v>45.073558550000001</v>
      </c>
      <c r="I590" t="s">
        <v>44</v>
      </c>
      <c r="J590" s="1">
        <v>44977</v>
      </c>
    </row>
    <row r="591" spans="1:10" x14ac:dyDescent="0.3">
      <c r="A591">
        <v>354</v>
      </c>
      <c r="B591" t="s">
        <v>13</v>
      </c>
      <c r="D591">
        <v>61.663027470000003</v>
      </c>
      <c r="E591">
        <v>580.33650490000002</v>
      </c>
      <c r="F591">
        <v>271.42660330000001</v>
      </c>
      <c r="G591">
        <v>201.63538779999999</v>
      </c>
      <c r="H591">
        <v>20.659990570000001</v>
      </c>
      <c r="I591" t="s">
        <v>44</v>
      </c>
      <c r="J591" s="1">
        <v>45280</v>
      </c>
    </row>
    <row r="592" spans="1:10" x14ac:dyDescent="0.3">
      <c r="A592">
        <v>946</v>
      </c>
      <c r="B592" t="s">
        <v>14</v>
      </c>
      <c r="C592" t="s">
        <v>41</v>
      </c>
      <c r="D592">
        <v>45.379039810000002</v>
      </c>
      <c r="E592">
        <v>438.50495619999998</v>
      </c>
      <c r="F592">
        <v>554.58262179999997</v>
      </c>
      <c r="G592">
        <v>115.6388125</v>
      </c>
      <c r="H592">
        <v>37.860777400000003</v>
      </c>
      <c r="I592" t="s">
        <v>18</v>
      </c>
      <c r="J592" s="1">
        <v>45872</v>
      </c>
    </row>
    <row r="593" spans="1:10" x14ac:dyDescent="0.3">
      <c r="A593">
        <v>143</v>
      </c>
      <c r="B593" t="s">
        <v>10</v>
      </c>
      <c r="C593" t="s">
        <v>17</v>
      </c>
      <c r="D593">
        <v>46.731192200000002</v>
      </c>
      <c r="E593">
        <v>472.69802390000001</v>
      </c>
      <c r="F593">
        <v>533.22020650000002</v>
      </c>
      <c r="G593">
        <v>208.35185000000001</v>
      </c>
      <c r="H593">
        <v>38.71188042</v>
      </c>
      <c r="I593" t="s">
        <v>18</v>
      </c>
      <c r="J593" s="1">
        <v>45069</v>
      </c>
    </row>
    <row r="594" spans="1:10" x14ac:dyDescent="0.3">
      <c r="A594">
        <v>471</v>
      </c>
      <c r="B594" t="s">
        <v>10</v>
      </c>
      <c r="C594" t="s">
        <v>19</v>
      </c>
      <c r="D594">
        <v>56.416874370000002</v>
      </c>
      <c r="E594">
        <v>461.46166720000002</v>
      </c>
      <c r="F594">
        <v>519.10090230000003</v>
      </c>
      <c r="G594">
        <v>159.8669305</v>
      </c>
      <c r="H594">
        <v>31.04027516</v>
      </c>
      <c r="I594" t="s">
        <v>18</v>
      </c>
      <c r="J594" s="1">
        <v>45397</v>
      </c>
    </row>
    <row r="595" spans="1:10" x14ac:dyDescent="0.3">
      <c r="A595">
        <v>400</v>
      </c>
      <c r="B595" t="s">
        <v>14</v>
      </c>
      <c r="C595" t="s">
        <v>19</v>
      </c>
      <c r="D595">
        <v>72.886820689999993</v>
      </c>
      <c r="E595">
        <v>577.20947890000002</v>
      </c>
      <c r="F595">
        <v>482.63325700000001</v>
      </c>
      <c r="G595">
        <v>249.10894930000001</v>
      </c>
      <c r="H595">
        <v>23.980309349999999</v>
      </c>
      <c r="I595" t="s">
        <v>18</v>
      </c>
      <c r="J595" s="1">
        <v>45326</v>
      </c>
    </row>
    <row r="596" spans="1:10" x14ac:dyDescent="0.3">
      <c r="A596">
        <v>717</v>
      </c>
      <c r="B596" t="s">
        <v>14</v>
      </c>
      <c r="C596" t="s">
        <v>11</v>
      </c>
      <c r="D596">
        <v>51.91520964</v>
      </c>
      <c r="E596">
        <v>567.07409459999997</v>
      </c>
      <c r="F596">
        <v>520.66699180000001</v>
      </c>
      <c r="G596">
        <v>138.2577143</v>
      </c>
      <c r="H596">
        <v>26.474089880000001</v>
      </c>
      <c r="I596" t="s">
        <v>16</v>
      </c>
      <c r="J596" s="1">
        <v>45643</v>
      </c>
    </row>
    <row r="597" spans="1:10" x14ac:dyDescent="0.3">
      <c r="A597">
        <v>321</v>
      </c>
      <c r="B597" t="s">
        <v>42</v>
      </c>
      <c r="C597" t="s">
        <v>15</v>
      </c>
      <c r="D597">
        <v>65.834650249999996</v>
      </c>
      <c r="E597">
        <v>510.9470604</v>
      </c>
      <c r="F597">
        <v>553.00893050000002</v>
      </c>
      <c r="G597">
        <v>214.48268490000001</v>
      </c>
      <c r="H597">
        <v>26.174688339999999</v>
      </c>
      <c r="I597" t="s">
        <v>40</v>
      </c>
      <c r="J597" s="1">
        <v>45247</v>
      </c>
    </row>
    <row r="598" spans="1:10" x14ac:dyDescent="0.3">
      <c r="A598">
        <v>20</v>
      </c>
      <c r="B598" t="s">
        <v>10</v>
      </c>
      <c r="C598" t="s">
        <v>15</v>
      </c>
      <c r="D598">
        <v>49.502334900000001</v>
      </c>
      <c r="E598">
        <v>600.35665600000004</v>
      </c>
      <c r="F598">
        <v>577.18671859999995</v>
      </c>
      <c r="G598">
        <v>206.2036363</v>
      </c>
      <c r="H598">
        <v>29.241331209999998</v>
      </c>
      <c r="I598" t="s">
        <v>44</v>
      </c>
      <c r="J598" s="1">
        <v>44946</v>
      </c>
    </row>
    <row r="599" spans="1:10" x14ac:dyDescent="0.3">
      <c r="A599">
        <v>827</v>
      </c>
      <c r="B599" t="s">
        <v>43</v>
      </c>
      <c r="C599" t="s">
        <v>15</v>
      </c>
      <c r="D599">
        <v>64.740560520000002</v>
      </c>
      <c r="E599">
        <v>462.05955010000002</v>
      </c>
      <c r="F599">
        <v>433.8245359</v>
      </c>
      <c r="G599">
        <v>183.0434865</v>
      </c>
      <c r="H599">
        <v>22.209636320000001</v>
      </c>
      <c r="J599" s="1">
        <v>45753</v>
      </c>
    </row>
    <row r="600" spans="1:10" x14ac:dyDescent="0.3">
      <c r="A600">
        <v>807</v>
      </c>
      <c r="B600" t="s">
        <v>14</v>
      </c>
      <c r="C600" t="s">
        <v>15</v>
      </c>
      <c r="D600">
        <v>60.501105959999997</v>
      </c>
      <c r="E600">
        <v>481.75790030000002</v>
      </c>
      <c r="F600">
        <v>309.46162320000002</v>
      </c>
      <c r="G600">
        <v>213.05884030000001</v>
      </c>
      <c r="H600">
        <v>30.577213180000001</v>
      </c>
      <c r="J600" s="1">
        <v>45733</v>
      </c>
    </row>
    <row r="601" spans="1:10" x14ac:dyDescent="0.3">
      <c r="A601">
        <v>826</v>
      </c>
      <c r="B601" t="s">
        <v>10</v>
      </c>
      <c r="C601" t="s">
        <v>19</v>
      </c>
      <c r="D601">
        <v>43.120661329999997</v>
      </c>
      <c r="E601">
        <v>386.14326269999998</v>
      </c>
      <c r="F601">
        <v>420.90115309999999</v>
      </c>
      <c r="G601">
        <v>198.3117609</v>
      </c>
      <c r="H601">
        <v>39.871983720000003</v>
      </c>
      <c r="I601" t="s">
        <v>40</v>
      </c>
      <c r="J601" s="1">
        <v>45752</v>
      </c>
    </row>
    <row r="602" spans="1:10" x14ac:dyDescent="0.3">
      <c r="A602">
        <v>408</v>
      </c>
      <c r="B602" t="s">
        <v>14</v>
      </c>
      <c r="C602" t="s">
        <v>41</v>
      </c>
      <c r="D602">
        <v>46.833499709999998</v>
      </c>
      <c r="E602">
        <v>348.49046570000002</v>
      </c>
      <c r="F602">
        <v>345.86653919999998</v>
      </c>
      <c r="G602">
        <v>109.5821784</v>
      </c>
      <c r="H602">
        <v>12.08968696</v>
      </c>
      <c r="I602" t="s">
        <v>16</v>
      </c>
      <c r="J602" s="1">
        <v>45334</v>
      </c>
    </row>
    <row r="603" spans="1:10" x14ac:dyDescent="0.3">
      <c r="A603">
        <v>538</v>
      </c>
      <c r="B603" t="s">
        <v>42</v>
      </c>
      <c r="C603" t="s">
        <v>11</v>
      </c>
      <c r="D603">
        <v>194.7333142</v>
      </c>
      <c r="E603">
        <v>532.99794610000004</v>
      </c>
      <c r="F603">
        <v>797.40441480000004</v>
      </c>
      <c r="G603">
        <v>107.0293337</v>
      </c>
      <c r="H603">
        <v>32.989655169999999</v>
      </c>
      <c r="I603" t="s">
        <v>16</v>
      </c>
      <c r="J603" s="1">
        <v>45464</v>
      </c>
    </row>
    <row r="604" spans="1:10" x14ac:dyDescent="0.3">
      <c r="A604">
        <v>636</v>
      </c>
      <c r="B604" t="s">
        <v>12</v>
      </c>
      <c r="C604" t="s">
        <v>17</v>
      </c>
      <c r="D604">
        <v>43.959877249999998</v>
      </c>
      <c r="E604">
        <v>433.66956779999998</v>
      </c>
      <c r="F604">
        <v>570.48911199999998</v>
      </c>
      <c r="G604">
        <v>227.3651337</v>
      </c>
      <c r="H604">
        <v>23.62807433</v>
      </c>
      <c r="I604" t="s">
        <v>44</v>
      </c>
      <c r="J604" s="1">
        <v>45562</v>
      </c>
    </row>
    <row r="605" spans="1:10" x14ac:dyDescent="0.3">
      <c r="A605">
        <v>39</v>
      </c>
      <c r="B605" t="s">
        <v>10</v>
      </c>
      <c r="C605" t="s">
        <v>41</v>
      </c>
      <c r="D605">
        <v>53.721313909999999</v>
      </c>
      <c r="E605">
        <v>569.71028560000002</v>
      </c>
      <c r="F605">
        <v>495.54005410000002</v>
      </c>
      <c r="G605">
        <v>227.53938679999999</v>
      </c>
      <c r="H605">
        <v>27.446506930000002</v>
      </c>
      <c r="I605" t="s">
        <v>44</v>
      </c>
      <c r="J605" s="1">
        <v>44965</v>
      </c>
    </row>
    <row r="606" spans="1:10" x14ac:dyDescent="0.3">
      <c r="B606" t="s">
        <v>13</v>
      </c>
      <c r="C606" t="s">
        <v>11</v>
      </c>
      <c r="E606">
        <v>654.75700949999998</v>
      </c>
      <c r="F606">
        <v>592.13133400000004</v>
      </c>
      <c r="G606">
        <v>168.2288447</v>
      </c>
      <c r="H606">
        <v>24.875359670000002</v>
      </c>
      <c r="I606" t="s">
        <v>16</v>
      </c>
      <c r="J606" s="1">
        <v>45102</v>
      </c>
    </row>
    <row r="607" spans="1:10" x14ac:dyDescent="0.3">
      <c r="A607">
        <v>246</v>
      </c>
      <c r="B607" t="s">
        <v>14</v>
      </c>
      <c r="D607">
        <v>52.222827170000002</v>
      </c>
      <c r="E607">
        <v>441.88539550000002</v>
      </c>
      <c r="F607">
        <v>393.09041619999999</v>
      </c>
      <c r="G607">
        <v>121.4210961</v>
      </c>
      <c r="H607">
        <v>30.89535266</v>
      </c>
      <c r="I607" t="s">
        <v>40</v>
      </c>
      <c r="J607" s="1">
        <v>45172</v>
      </c>
    </row>
    <row r="608" spans="1:10" x14ac:dyDescent="0.3">
      <c r="A608">
        <v>846</v>
      </c>
      <c r="B608" t="s">
        <v>14</v>
      </c>
      <c r="C608" t="s">
        <v>41</v>
      </c>
      <c r="D608">
        <v>51.070423820000002</v>
      </c>
      <c r="E608">
        <v>267.80435829999999</v>
      </c>
      <c r="F608">
        <v>375.8323312</v>
      </c>
      <c r="G608">
        <v>97.803165269999994</v>
      </c>
      <c r="H608">
        <v>18.04608923</v>
      </c>
      <c r="J608" s="1">
        <v>45772</v>
      </c>
    </row>
    <row r="609" spans="1:10" x14ac:dyDescent="0.3">
      <c r="A609">
        <v>683</v>
      </c>
      <c r="C609" t="s">
        <v>11</v>
      </c>
      <c r="D609">
        <v>49.389565750000003</v>
      </c>
      <c r="E609">
        <v>362.76254</v>
      </c>
      <c r="F609">
        <v>444.95897450000001</v>
      </c>
      <c r="G609">
        <v>127.6533965</v>
      </c>
      <c r="H609">
        <v>37.441973390000001</v>
      </c>
      <c r="I609" t="s">
        <v>18</v>
      </c>
      <c r="J609" s="1">
        <v>45609</v>
      </c>
    </row>
    <row r="610" spans="1:10" x14ac:dyDescent="0.3">
      <c r="A610">
        <v>771</v>
      </c>
      <c r="B610" t="s">
        <v>14</v>
      </c>
      <c r="D610">
        <v>60.28682611</v>
      </c>
      <c r="E610">
        <v>379.39997990000001</v>
      </c>
      <c r="F610">
        <v>587.59063849999995</v>
      </c>
      <c r="G610">
        <v>201.7433441</v>
      </c>
      <c r="H610">
        <v>20.983413729999999</v>
      </c>
      <c r="I610" t="s">
        <v>40</v>
      </c>
      <c r="J610" s="1">
        <v>45697</v>
      </c>
    </row>
    <row r="611" spans="1:10" x14ac:dyDescent="0.3">
      <c r="A611">
        <v>969</v>
      </c>
      <c r="B611" t="s">
        <v>14</v>
      </c>
      <c r="C611" t="s">
        <v>41</v>
      </c>
      <c r="D611">
        <v>47.808439800000002</v>
      </c>
      <c r="E611">
        <v>599.12586580000004</v>
      </c>
      <c r="F611">
        <v>355.69068179999999</v>
      </c>
      <c r="G611">
        <v>178.92611260000001</v>
      </c>
      <c r="H611">
        <v>28.007465409999998</v>
      </c>
      <c r="J611" s="1">
        <v>45895</v>
      </c>
    </row>
    <row r="612" spans="1:10" x14ac:dyDescent="0.3">
      <c r="A612">
        <v>155</v>
      </c>
      <c r="B612" t="s">
        <v>14</v>
      </c>
      <c r="C612" t="s">
        <v>11</v>
      </c>
      <c r="D612">
        <v>48.664201589999998</v>
      </c>
      <c r="E612">
        <v>519.22929780000004</v>
      </c>
      <c r="F612">
        <v>344.07971379999998</v>
      </c>
      <c r="G612">
        <v>150.97962949999999</v>
      </c>
      <c r="H612">
        <v>33.13477374</v>
      </c>
      <c r="I612" t="s">
        <v>44</v>
      </c>
      <c r="J612" s="1">
        <v>45081</v>
      </c>
    </row>
    <row r="613" spans="1:10" x14ac:dyDescent="0.3">
      <c r="A613">
        <v>288</v>
      </c>
      <c r="B613" t="s">
        <v>13</v>
      </c>
      <c r="C613" t="s">
        <v>19</v>
      </c>
      <c r="D613">
        <v>42.276959750000003</v>
      </c>
      <c r="E613">
        <v>440.2290486</v>
      </c>
      <c r="G613">
        <v>163.9407722</v>
      </c>
      <c r="H613">
        <v>38.335063529999999</v>
      </c>
      <c r="J613" s="1">
        <v>45214</v>
      </c>
    </row>
    <row r="614" spans="1:10" x14ac:dyDescent="0.3">
      <c r="A614">
        <v>618</v>
      </c>
      <c r="B614" t="s">
        <v>14</v>
      </c>
      <c r="C614" t="s">
        <v>19</v>
      </c>
      <c r="D614">
        <v>41.075441609999999</v>
      </c>
      <c r="E614">
        <v>533.83466669999996</v>
      </c>
      <c r="F614">
        <v>385.19846380000001</v>
      </c>
      <c r="G614">
        <v>175.06174060000001</v>
      </c>
      <c r="H614">
        <v>28.68132481</v>
      </c>
      <c r="I614" t="s">
        <v>16</v>
      </c>
      <c r="J614" s="1">
        <v>45544</v>
      </c>
    </row>
    <row r="615" spans="1:10" x14ac:dyDescent="0.3">
      <c r="A615">
        <v>570</v>
      </c>
      <c r="B615" t="s">
        <v>43</v>
      </c>
      <c r="C615" t="s">
        <v>19</v>
      </c>
      <c r="D615">
        <v>56.820344499999997</v>
      </c>
      <c r="E615">
        <v>674.46391730000005</v>
      </c>
      <c r="F615">
        <v>417.43186900000001</v>
      </c>
      <c r="G615">
        <v>194.47322009999999</v>
      </c>
      <c r="H615">
        <v>30.553617169999999</v>
      </c>
      <c r="J615" s="1">
        <v>45496</v>
      </c>
    </row>
    <row r="616" spans="1:10" x14ac:dyDescent="0.3">
      <c r="A616">
        <v>760</v>
      </c>
      <c r="B616" t="s">
        <v>43</v>
      </c>
      <c r="C616" t="s">
        <v>19</v>
      </c>
      <c r="D616">
        <v>42.099336749999999</v>
      </c>
      <c r="E616">
        <v>617.1120631</v>
      </c>
      <c r="F616">
        <v>689.50456029999998</v>
      </c>
      <c r="G616">
        <v>141.1194496</v>
      </c>
      <c r="H616">
        <v>29.87326363</v>
      </c>
      <c r="I616" t="s">
        <v>44</v>
      </c>
      <c r="J616" s="1">
        <v>45686</v>
      </c>
    </row>
    <row r="617" spans="1:10" x14ac:dyDescent="0.3">
      <c r="A617">
        <v>18</v>
      </c>
      <c r="B617" t="s">
        <v>43</v>
      </c>
      <c r="C617" t="s">
        <v>41</v>
      </c>
      <c r="D617">
        <v>54.91404567</v>
      </c>
      <c r="E617">
        <v>479.55450200000001</v>
      </c>
      <c r="F617">
        <v>630.17477059999999</v>
      </c>
      <c r="G617">
        <v>125.1900423</v>
      </c>
      <c r="H617">
        <v>29.65123285</v>
      </c>
      <c r="I617" t="s">
        <v>18</v>
      </c>
      <c r="J617" s="1">
        <v>44944</v>
      </c>
    </row>
    <row r="618" spans="1:10" x14ac:dyDescent="0.3">
      <c r="A618">
        <v>128</v>
      </c>
      <c r="B618" t="s">
        <v>13</v>
      </c>
      <c r="C618" t="s">
        <v>17</v>
      </c>
      <c r="D618">
        <v>52.54173892</v>
      </c>
      <c r="E618">
        <v>513.97769700000003</v>
      </c>
      <c r="F618">
        <v>160.28012150000001</v>
      </c>
      <c r="G618">
        <v>181.91837380000001</v>
      </c>
      <c r="H618">
        <v>23.750553440000001</v>
      </c>
      <c r="J618" s="1">
        <v>45054</v>
      </c>
    </row>
    <row r="619" spans="1:10" x14ac:dyDescent="0.3">
      <c r="A619">
        <v>323</v>
      </c>
      <c r="B619" t="s">
        <v>13</v>
      </c>
      <c r="C619" t="s">
        <v>11</v>
      </c>
      <c r="D619">
        <v>119.4566502</v>
      </c>
      <c r="E619">
        <v>442.71279099999998</v>
      </c>
      <c r="F619">
        <v>491.89660070000002</v>
      </c>
      <c r="G619">
        <v>238.9514934</v>
      </c>
      <c r="H619">
        <v>26.707950319999998</v>
      </c>
      <c r="J619" s="1">
        <v>45249</v>
      </c>
    </row>
    <row r="620" spans="1:10" x14ac:dyDescent="0.3">
      <c r="A620">
        <v>256</v>
      </c>
      <c r="B620" t="s">
        <v>14</v>
      </c>
      <c r="C620" t="s">
        <v>15</v>
      </c>
      <c r="D620">
        <v>53.839715529999999</v>
      </c>
      <c r="E620">
        <v>379.6867398</v>
      </c>
      <c r="F620">
        <v>699.32171800000003</v>
      </c>
      <c r="G620">
        <v>221.50328440000001</v>
      </c>
      <c r="H620">
        <v>33.10039999</v>
      </c>
      <c r="I620" t="s">
        <v>40</v>
      </c>
      <c r="J620" s="1">
        <v>45182</v>
      </c>
    </row>
    <row r="621" spans="1:10" x14ac:dyDescent="0.3">
      <c r="A621">
        <v>689</v>
      </c>
      <c r="B621" t="s">
        <v>14</v>
      </c>
      <c r="C621" t="s">
        <v>11</v>
      </c>
      <c r="D621">
        <v>60.383887559999998</v>
      </c>
      <c r="E621">
        <v>610.83376869999995</v>
      </c>
      <c r="F621">
        <v>412.20217070000001</v>
      </c>
      <c r="G621">
        <v>338.4446155</v>
      </c>
      <c r="H621">
        <v>34.766987669999999</v>
      </c>
      <c r="J621" s="1">
        <v>45615</v>
      </c>
    </row>
    <row r="622" spans="1:10" x14ac:dyDescent="0.3">
      <c r="A622">
        <v>985</v>
      </c>
      <c r="B622" t="s">
        <v>12</v>
      </c>
      <c r="C622" t="s">
        <v>17</v>
      </c>
      <c r="D622" t="s">
        <v>45</v>
      </c>
      <c r="E622">
        <v>707.56375419999995</v>
      </c>
      <c r="F622">
        <v>282.52888630000001</v>
      </c>
      <c r="G622">
        <v>174.89419100000001</v>
      </c>
      <c r="H622">
        <v>29.210789890000001</v>
      </c>
      <c r="I622" t="s">
        <v>18</v>
      </c>
      <c r="J622" s="1">
        <v>45911</v>
      </c>
    </row>
    <row r="623" spans="1:10" x14ac:dyDescent="0.3">
      <c r="A623">
        <v>191</v>
      </c>
      <c r="B623" t="s">
        <v>10</v>
      </c>
      <c r="C623" t="s">
        <v>15</v>
      </c>
      <c r="D623">
        <v>60.46920128</v>
      </c>
      <c r="E623">
        <v>425.68657350000001</v>
      </c>
      <c r="F623">
        <v>478.68745960000001</v>
      </c>
      <c r="G623">
        <v>266.90127009999998</v>
      </c>
      <c r="H623">
        <v>26.7484216</v>
      </c>
      <c r="I623" t="s">
        <v>16</v>
      </c>
      <c r="J623" s="1">
        <v>45117</v>
      </c>
    </row>
    <row r="624" spans="1:10" x14ac:dyDescent="0.3">
      <c r="A624">
        <v>116</v>
      </c>
      <c r="B624" t="s">
        <v>43</v>
      </c>
      <c r="C624" t="s">
        <v>41</v>
      </c>
      <c r="D624">
        <v>52.351998289999997</v>
      </c>
      <c r="E624">
        <v>698.1691806</v>
      </c>
      <c r="F624">
        <v>419.68564629999997</v>
      </c>
      <c r="G624">
        <v>256.36870049999999</v>
      </c>
      <c r="I624" t="s">
        <v>44</v>
      </c>
      <c r="J624" s="1">
        <v>45042</v>
      </c>
    </row>
    <row r="625" spans="1:10" x14ac:dyDescent="0.3">
      <c r="A625">
        <v>632</v>
      </c>
      <c r="B625" t="s">
        <v>43</v>
      </c>
      <c r="C625" t="s">
        <v>15</v>
      </c>
      <c r="D625">
        <v>254.36655289999999</v>
      </c>
      <c r="E625">
        <v>2017.707189</v>
      </c>
      <c r="F625">
        <v>621.9078872</v>
      </c>
      <c r="G625">
        <v>199.41698220000001</v>
      </c>
      <c r="H625">
        <v>24.581323149999999</v>
      </c>
      <c r="I625" t="s">
        <v>40</v>
      </c>
      <c r="J625" s="1">
        <v>45558</v>
      </c>
    </row>
    <row r="626" spans="1:10" x14ac:dyDescent="0.3">
      <c r="A626">
        <v>607</v>
      </c>
      <c r="B626" t="s">
        <v>10</v>
      </c>
      <c r="C626" t="s">
        <v>17</v>
      </c>
      <c r="D626">
        <v>21.287173370000001</v>
      </c>
      <c r="E626">
        <v>231.52119529999999</v>
      </c>
      <c r="F626">
        <v>475.42318970000002</v>
      </c>
      <c r="G626">
        <v>165.68315770000001</v>
      </c>
      <c r="H626">
        <v>38.201986400000003</v>
      </c>
      <c r="I626" t="s">
        <v>44</v>
      </c>
      <c r="J626" s="1">
        <v>45533</v>
      </c>
    </row>
    <row r="627" spans="1:10" x14ac:dyDescent="0.3">
      <c r="A627">
        <v>181</v>
      </c>
      <c r="B627" t="s">
        <v>43</v>
      </c>
      <c r="C627" t="s">
        <v>19</v>
      </c>
      <c r="D627">
        <v>42.283716779999999</v>
      </c>
      <c r="E627">
        <v>283.84396670000001</v>
      </c>
      <c r="F627">
        <v>625.22922010000002</v>
      </c>
      <c r="G627">
        <v>206.80688699999999</v>
      </c>
      <c r="H627">
        <v>33.225189280000002</v>
      </c>
      <c r="J627" s="1">
        <v>45107</v>
      </c>
    </row>
    <row r="628" spans="1:10" x14ac:dyDescent="0.3">
      <c r="A628">
        <v>302</v>
      </c>
      <c r="B628" t="s">
        <v>12</v>
      </c>
      <c r="C628" t="s">
        <v>41</v>
      </c>
      <c r="D628">
        <v>150.9936008</v>
      </c>
      <c r="E628">
        <v>459.45899919999999</v>
      </c>
      <c r="F628">
        <v>510.31079130000001</v>
      </c>
      <c r="G628">
        <v>154.890478</v>
      </c>
      <c r="H628">
        <v>32.551381560000003</v>
      </c>
      <c r="I628" t="s">
        <v>16</v>
      </c>
      <c r="J628" s="1">
        <v>45228</v>
      </c>
    </row>
    <row r="629" spans="1:10" x14ac:dyDescent="0.3">
      <c r="A629">
        <v>941</v>
      </c>
      <c r="B629" t="s">
        <v>13</v>
      </c>
      <c r="D629">
        <v>85.550321920000002</v>
      </c>
      <c r="E629">
        <v>418.5405207</v>
      </c>
      <c r="F629">
        <v>623.23738390000005</v>
      </c>
      <c r="G629">
        <v>237.47908720000001</v>
      </c>
      <c r="H629">
        <v>23.047025699999999</v>
      </c>
      <c r="I629" t="s">
        <v>18</v>
      </c>
      <c r="J629" s="1">
        <v>45867</v>
      </c>
    </row>
    <row r="630" spans="1:10" x14ac:dyDescent="0.3">
      <c r="A630">
        <v>729</v>
      </c>
      <c r="B630" t="s">
        <v>12</v>
      </c>
      <c r="C630" t="s">
        <v>19</v>
      </c>
      <c r="D630">
        <v>67.92922591</v>
      </c>
      <c r="E630">
        <v>621.47970569999995</v>
      </c>
      <c r="F630">
        <v>536.7661114</v>
      </c>
      <c r="G630">
        <v>244.87717850000001</v>
      </c>
      <c r="H630">
        <v>35.899567050000002</v>
      </c>
      <c r="I630" t="s">
        <v>16</v>
      </c>
      <c r="J630" s="1">
        <v>45655</v>
      </c>
    </row>
    <row r="631" spans="1:10" x14ac:dyDescent="0.3">
      <c r="A631">
        <v>740</v>
      </c>
      <c r="B631" t="s">
        <v>12</v>
      </c>
      <c r="C631" t="s">
        <v>17</v>
      </c>
      <c r="D631">
        <v>63.059699170000002</v>
      </c>
      <c r="E631">
        <v>533.05733929999997</v>
      </c>
      <c r="F631">
        <v>575.19424860000004</v>
      </c>
      <c r="G631">
        <v>174.57188729999999</v>
      </c>
      <c r="H631">
        <v>24.395939469999998</v>
      </c>
      <c r="I631" t="s">
        <v>18</v>
      </c>
      <c r="J631" s="1">
        <v>45666</v>
      </c>
    </row>
    <row r="632" spans="1:10" x14ac:dyDescent="0.3">
      <c r="A632">
        <v>346</v>
      </c>
      <c r="B632" t="s">
        <v>14</v>
      </c>
      <c r="C632" t="s">
        <v>17</v>
      </c>
      <c r="D632">
        <v>38.685469789999999</v>
      </c>
      <c r="E632">
        <v>538.31002120000005</v>
      </c>
      <c r="F632">
        <v>564.34581579999997</v>
      </c>
      <c r="G632">
        <v>164.075974</v>
      </c>
      <c r="H632">
        <v>36.121908349999998</v>
      </c>
      <c r="I632" t="s">
        <v>16</v>
      </c>
      <c r="J632" s="1">
        <v>45272</v>
      </c>
    </row>
    <row r="633" spans="1:10" x14ac:dyDescent="0.3">
      <c r="A633">
        <v>788</v>
      </c>
      <c r="B633" t="s">
        <v>42</v>
      </c>
      <c r="C633" t="s">
        <v>15</v>
      </c>
      <c r="D633">
        <v>40.574346089999999</v>
      </c>
      <c r="E633" t="s">
        <v>46</v>
      </c>
      <c r="F633">
        <v>301.24350939999999</v>
      </c>
      <c r="G633">
        <v>206.43264740000001</v>
      </c>
      <c r="H633">
        <v>24.831325669999998</v>
      </c>
      <c r="J633" s="1">
        <v>45714</v>
      </c>
    </row>
    <row r="634" spans="1:10" x14ac:dyDescent="0.3">
      <c r="A634">
        <v>518</v>
      </c>
      <c r="C634" t="s">
        <v>19</v>
      </c>
      <c r="D634">
        <v>50.784293990000002</v>
      </c>
      <c r="E634">
        <v>296.44691569999998</v>
      </c>
      <c r="F634">
        <v>494.35203150000001</v>
      </c>
      <c r="G634">
        <v>195.9525897</v>
      </c>
      <c r="H634">
        <v>28.655419030000001</v>
      </c>
      <c r="I634" t="s">
        <v>40</v>
      </c>
      <c r="J634" s="1">
        <v>45444</v>
      </c>
    </row>
    <row r="635" spans="1:10" x14ac:dyDescent="0.3">
      <c r="A635">
        <v>243</v>
      </c>
      <c r="B635" t="s">
        <v>10</v>
      </c>
      <c r="C635" t="s">
        <v>41</v>
      </c>
      <c r="D635">
        <v>36.926476190000002</v>
      </c>
      <c r="E635">
        <v>516.27444149999997</v>
      </c>
      <c r="F635">
        <v>656.34990449999998</v>
      </c>
      <c r="G635">
        <v>117.65680709999999</v>
      </c>
      <c r="H635">
        <v>26.062623479999999</v>
      </c>
      <c r="I635" t="s">
        <v>40</v>
      </c>
      <c r="J635" s="1">
        <v>45169</v>
      </c>
    </row>
    <row r="636" spans="1:10" x14ac:dyDescent="0.3">
      <c r="A636">
        <v>46</v>
      </c>
      <c r="B636" t="s">
        <v>10</v>
      </c>
      <c r="C636" t="s">
        <v>41</v>
      </c>
      <c r="D636">
        <v>49.773969110000003</v>
      </c>
      <c r="E636">
        <v>497.5972142</v>
      </c>
      <c r="F636">
        <v>603.43852549999997</v>
      </c>
      <c r="G636">
        <v>172.6944499</v>
      </c>
      <c r="H636">
        <v>31.404816610000001</v>
      </c>
      <c r="I636" t="s">
        <v>44</v>
      </c>
      <c r="J636" s="1">
        <v>44972</v>
      </c>
    </row>
    <row r="637" spans="1:10" x14ac:dyDescent="0.3">
      <c r="A637">
        <v>927</v>
      </c>
      <c r="B637" t="s">
        <v>43</v>
      </c>
      <c r="C637" t="s">
        <v>17</v>
      </c>
      <c r="D637">
        <v>65.856464930000001</v>
      </c>
      <c r="E637">
        <v>741.00486490000003</v>
      </c>
      <c r="F637">
        <v>462.82611159999999</v>
      </c>
      <c r="G637">
        <v>162.771973</v>
      </c>
      <c r="H637">
        <v>33.919838259999999</v>
      </c>
      <c r="I637" t="s">
        <v>44</v>
      </c>
      <c r="J637" s="1">
        <v>45853</v>
      </c>
    </row>
    <row r="638" spans="1:10" x14ac:dyDescent="0.3">
      <c r="A638">
        <v>158</v>
      </c>
      <c r="C638" t="s">
        <v>15</v>
      </c>
      <c r="D638">
        <v>79.377528470000001</v>
      </c>
      <c r="E638">
        <v>358.74642369999998</v>
      </c>
      <c r="F638">
        <v>419.12743069999999</v>
      </c>
      <c r="G638">
        <v>175.34275719999999</v>
      </c>
      <c r="H638">
        <v>23.953927350000001</v>
      </c>
      <c r="J638" s="1">
        <v>45084</v>
      </c>
    </row>
    <row r="639" spans="1:10" x14ac:dyDescent="0.3">
      <c r="A639">
        <v>761</v>
      </c>
      <c r="B639" t="s">
        <v>43</v>
      </c>
      <c r="C639" t="s">
        <v>17</v>
      </c>
      <c r="D639">
        <v>61.946741439999997</v>
      </c>
      <c r="E639">
        <v>555.82916750000004</v>
      </c>
      <c r="F639">
        <v>647.91400099999998</v>
      </c>
      <c r="H639">
        <v>27.045859449999998</v>
      </c>
      <c r="I639" t="s">
        <v>16</v>
      </c>
      <c r="J639" s="1">
        <v>45687</v>
      </c>
    </row>
    <row r="640" spans="1:10" x14ac:dyDescent="0.3">
      <c r="A640">
        <v>172</v>
      </c>
      <c r="B640" t="s">
        <v>12</v>
      </c>
      <c r="C640" t="s">
        <v>41</v>
      </c>
      <c r="D640">
        <v>53.076207549999999</v>
      </c>
      <c r="E640">
        <v>521.63168819999999</v>
      </c>
      <c r="F640">
        <v>471.0757681</v>
      </c>
      <c r="G640">
        <v>195.08035090000001</v>
      </c>
      <c r="H640">
        <v>35.305971380000003</v>
      </c>
      <c r="J640" s="1">
        <v>45098</v>
      </c>
    </row>
    <row r="641" spans="1:10" x14ac:dyDescent="0.3">
      <c r="A641">
        <v>17</v>
      </c>
      <c r="B641" t="s">
        <v>42</v>
      </c>
      <c r="C641" t="s">
        <v>11</v>
      </c>
      <c r="D641">
        <v>62.492017670000003</v>
      </c>
      <c r="E641">
        <v>616.58060190000003</v>
      </c>
      <c r="F641">
        <v>582.26146619999997</v>
      </c>
      <c r="G641">
        <v>272.90126379999998</v>
      </c>
      <c r="H641">
        <v>32.397208460000002</v>
      </c>
      <c r="I641" t="s">
        <v>44</v>
      </c>
      <c r="J641" s="1">
        <v>44943</v>
      </c>
    </row>
    <row r="642" spans="1:10" x14ac:dyDescent="0.3">
      <c r="A642">
        <v>512</v>
      </c>
      <c r="C642" t="s">
        <v>17</v>
      </c>
      <c r="D642">
        <v>35.080638540000002</v>
      </c>
      <c r="E642">
        <v>564.11866620000001</v>
      </c>
      <c r="F642">
        <v>488.2614878</v>
      </c>
      <c r="G642">
        <v>248.95927180000001</v>
      </c>
      <c r="H642">
        <v>35.037903409999998</v>
      </c>
      <c r="I642" t="s">
        <v>18</v>
      </c>
      <c r="J642" s="1">
        <v>45438</v>
      </c>
    </row>
    <row r="643" spans="1:10" x14ac:dyDescent="0.3">
      <c r="A643">
        <v>49</v>
      </c>
      <c r="B643" t="s">
        <v>14</v>
      </c>
      <c r="C643" t="s">
        <v>41</v>
      </c>
      <c r="D643">
        <v>41.236813320000003</v>
      </c>
      <c r="E643">
        <v>480.89523100000002</v>
      </c>
      <c r="F643">
        <v>220.2828159</v>
      </c>
      <c r="G643">
        <v>201.46257399999999</v>
      </c>
      <c r="H643">
        <v>30.420532439999999</v>
      </c>
      <c r="I643" t="s">
        <v>44</v>
      </c>
      <c r="J643" s="1">
        <v>44975</v>
      </c>
    </row>
    <row r="644" spans="1:10" x14ac:dyDescent="0.3">
      <c r="A644">
        <v>992</v>
      </c>
      <c r="C644" t="s">
        <v>15</v>
      </c>
      <c r="D644">
        <v>52.409249969999998</v>
      </c>
      <c r="E644">
        <v>569.90136199999995</v>
      </c>
      <c r="F644">
        <v>462.68544689999999</v>
      </c>
      <c r="G644">
        <v>223.56762449999999</v>
      </c>
      <c r="H644">
        <v>38.958353549999998</v>
      </c>
      <c r="I644" t="s">
        <v>40</v>
      </c>
      <c r="J644" s="1">
        <v>45918</v>
      </c>
    </row>
    <row r="645" spans="1:10" x14ac:dyDescent="0.3">
      <c r="A645">
        <v>858</v>
      </c>
      <c r="B645" t="s">
        <v>12</v>
      </c>
      <c r="C645" t="s">
        <v>41</v>
      </c>
      <c r="D645">
        <v>50.068682549999998</v>
      </c>
      <c r="E645">
        <v>492.52558320000003</v>
      </c>
      <c r="F645">
        <v>468.64514489999999</v>
      </c>
      <c r="G645">
        <v>257.76502060000001</v>
      </c>
      <c r="H645">
        <v>33.476886180000001</v>
      </c>
      <c r="I645" t="s">
        <v>18</v>
      </c>
      <c r="J645" s="1">
        <v>45784</v>
      </c>
    </row>
    <row r="646" spans="1:10" x14ac:dyDescent="0.3">
      <c r="A646">
        <v>516</v>
      </c>
      <c r="B646" t="s">
        <v>10</v>
      </c>
      <c r="D646">
        <v>60.754330629999998</v>
      </c>
      <c r="E646">
        <v>398.26760919999998</v>
      </c>
      <c r="F646">
        <v>578.51602609999998</v>
      </c>
      <c r="G646">
        <v>131.58184539999999</v>
      </c>
      <c r="H646">
        <v>25.69544235</v>
      </c>
      <c r="I646" t="s">
        <v>44</v>
      </c>
      <c r="J646" s="1">
        <v>45442</v>
      </c>
    </row>
    <row r="647" spans="1:10" x14ac:dyDescent="0.3">
      <c r="A647">
        <v>912</v>
      </c>
      <c r="B647" t="s">
        <v>12</v>
      </c>
      <c r="C647" t="s">
        <v>17</v>
      </c>
      <c r="D647">
        <v>62.873243899999999</v>
      </c>
      <c r="E647">
        <v>497.2668066</v>
      </c>
      <c r="F647">
        <v>769.70607749999999</v>
      </c>
      <c r="G647">
        <v>184.6449897</v>
      </c>
      <c r="H647">
        <v>23.707925849999999</v>
      </c>
      <c r="I647" t="s">
        <v>44</v>
      </c>
      <c r="J647" s="1">
        <v>45838</v>
      </c>
    </row>
    <row r="648" spans="1:10" x14ac:dyDescent="0.3">
      <c r="A648">
        <v>481</v>
      </c>
      <c r="B648" t="s">
        <v>10</v>
      </c>
      <c r="D648">
        <v>55.568208409999997</v>
      </c>
      <c r="E648">
        <v>501.58075439999999</v>
      </c>
      <c r="F648">
        <v>486.21406209999998</v>
      </c>
      <c r="G648">
        <v>229.83793230000001</v>
      </c>
      <c r="H648">
        <v>26.828934029999999</v>
      </c>
      <c r="I648" t="s">
        <v>16</v>
      </c>
      <c r="J648" s="1">
        <v>45407</v>
      </c>
    </row>
    <row r="649" spans="1:10" x14ac:dyDescent="0.3">
      <c r="A649">
        <v>284</v>
      </c>
      <c r="B649" t="s">
        <v>10</v>
      </c>
      <c r="C649" t="s">
        <v>19</v>
      </c>
      <c r="D649">
        <v>33.14689061</v>
      </c>
      <c r="E649">
        <v>342.03844930000002</v>
      </c>
      <c r="F649">
        <v>714.13704580000001</v>
      </c>
      <c r="G649">
        <v>268.31194950000003</v>
      </c>
      <c r="H649">
        <v>27.633619240000002</v>
      </c>
      <c r="J649" s="1">
        <v>45210</v>
      </c>
    </row>
    <row r="650" spans="1:10" x14ac:dyDescent="0.3">
      <c r="A650">
        <v>735</v>
      </c>
      <c r="B650" t="s">
        <v>13</v>
      </c>
      <c r="C650" t="s">
        <v>17</v>
      </c>
      <c r="D650">
        <v>68.078761589999999</v>
      </c>
      <c r="E650">
        <v>633.49032480000005</v>
      </c>
      <c r="F650">
        <v>453.4869286</v>
      </c>
      <c r="G650">
        <v>136.4294409</v>
      </c>
      <c r="H650">
        <v>24.578781230000001</v>
      </c>
      <c r="I650" t="s">
        <v>16</v>
      </c>
      <c r="J650" s="1">
        <v>45661</v>
      </c>
    </row>
    <row r="651" spans="1:10" x14ac:dyDescent="0.3">
      <c r="A651">
        <v>670</v>
      </c>
      <c r="B651" t="s">
        <v>14</v>
      </c>
      <c r="C651" t="s">
        <v>11</v>
      </c>
      <c r="D651">
        <v>49.411181900000003</v>
      </c>
      <c r="E651">
        <v>531.05912590000003</v>
      </c>
      <c r="F651">
        <v>571.69263560000002</v>
      </c>
      <c r="G651">
        <v>179.42644129999999</v>
      </c>
      <c r="H651">
        <v>34.850505470000002</v>
      </c>
      <c r="I651" t="s">
        <v>16</v>
      </c>
      <c r="J651" s="1">
        <v>45596</v>
      </c>
    </row>
    <row r="652" spans="1:10" x14ac:dyDescent="0.3">
      <c r="A652">
        <v>226</v>
      </c>
      <c r="B652" t="s">
        <v>43</v>
      </c>
      <c r="C652" t="s">
        <v>11</v>
      </c>
      <c r="D652">
        <v>53.920845300000003</v>
      </c>
      <c r="E652">
        <v>522.46257849999995</v>
      </c>
      <c r="F652">
        <v>342.9993814</v>
      </c>
      <c r="G652">
        <v>144.60291649999999</v>
      </c>
      <c r="H652">
        <v>26.628548540000001</v>
      </c>
      <c r="J652" s="1">
        <v>45152</v>
      </c>
    </row>
    <row r="653" spans="1:10" x14ac:dyDescent="0.3">
      <c r="A653">
        <v>27</v>
      </c>
      <c r="B653" t="s">
        <v>10</v>
      </c>
      <c r="C653" t="s">
        <v>17</v>
      </c>
      <c r="D653">
        <v>34.085953529999998</v>
      </c>
      <c r="E653">
        <v>459.0039496</v>
      </c>
      <c r="F653">
        <v>356.6284311</v>
      </c>
      <c r="G653">
        <v>97.101662329999996</v>
      </c>
      <c r="H653">
        <v>31.109262579999999</v>
      </c>
      <c r="J653" s="1">
        <v>44953</v>
      </c>
    </row>
    <row r="654" spans="1:10" x14ac:dyDescent="0.3">
      <c r="A654">
        <v>799</v>
      </c>
      <c r="D654">
        <v>53.39514484</v>
      </c>
      <c r="E654">
        <v>483.3530872</v>
      </c>
      <c r="F654">
        <v>454.50852839999999</v>
      </c>
      <c r="G654">
        <v>212.5346208</v>
      </c>
      <c r="H654">
        <v>31.06409923</v>
      </c>
      <c r="J654" s="1">
        <v>45725</v>
      </c>
    </row>
    <row r="655" spans="1:10" x14ac:dyDescent="0.3">
      <c r="C655" t="s">
        <v>11</v>
      </c>
      <c r="D655">
        <v>59.213496030000002</v>
      </c>
      <c r="E655">
        <v>333.87568370000002</v>
      </c>
      <c r="F655">
        <v>342.0754068</v>
      </c>
      <c r="G655">
        <v>266.05308689999998</v>
      </c>
      <c r="H655">
        <v>39.267053990000001</v>
      </c>
      <c r="I655" t="s">
        <v>40</v>
      </c>
      <c r="J655" s="1">
        <v>45364</v>
      </c>
    </row>
    <row r="656" spans="1:10" x14ac:dyDescent="0.3">
      <c r="A656">
        <v>970</v>
      </c>
      <c r="C656" t="s">
        <v>19</v>
      </c>
      <c r="D656">
        <v>62.277208770000001</v>
      </c>
      <c r="E656">
        <v>603.83776550000005</v>
      </c>
      <c r="F656">
        <v>462.4129757</v>
      </c>
      <c r="G656">
        <v>143.44788130000001</v>
      </c>
      <c r="H656">
        <v>32.430856210000002</v>
      </c>
      <c r="J656" s="1">
        <v>45896</v>
      </c>
    </row>
    <row r="657" spans="1:10" x14ac:dyDescent="0.3">
      <c r="A657">
        <v>365</v>
      </c>
      <c r="B657" t="s">
        <v>13</v>
      </c>
      <c r="C657" t="s">
        <v>19</v>
      </c>
      <c r="D657">
        <v>47.748534730000003</v>
      </c>
      <c r="E657">
        <v>457.73664389999999</v>
      </c>
      <c r="F657">
        <v>558.88379559999998</v>
      </c>
      <c r="G657">
        <v>246.8533438</v>
      </c>
      <c r="H657">
        <v>34.869231290000002</v>
      </c>
      <c r="I657" t="s">
        <v>40</v>
      </c>
      <c r="J657" s="1">
        <v>45291</v>
      </c>
    </row>
    <row r="658" spans="1:10" x14ac:dyDescent="0.3">
      <c r="A658">
        <v>230</v>
      </c>
      <c r="B658" t="s">
        <v>42</v>
      </c>
      <c r="C658" t="s">
        <v>19</v>
      </c>
      <c r="D658">
        <v>40.496518170000002</v>
      </c>
      <c r="E658">
        <v>310.5526931</v>
      </c>
      <c r="F658">
        <v>613.85199569999997</v>
      </c>
      <c r="G658">
        <v>246.82520579999999</v>
      </c>
      <c r="H658">
        <v>37.0208297</v>
      </c>
      <c r="I658" t="s">
        <v>40</v>
      </c>
      <c r="J658" s="1">
        <v>45156</v>
      </c>
    </row>
    <row r="659" spans="1:10" x14ac:dyDescent="0.3">
      <c r="A659">
        <v>38</v>
      </c>
      <c r="B659" t="s">
        <v>10</v>
      </c>
      <c r="C659" t="s">
        <v>15</v>
      </c>
      <c r="D659">
        <v>39.063710540000002</v>
      </c>
      <c r="E659" t="s">
        <v>46</v>
      </c>
      <c r="F659">
        <v>462.47281379999998</v>
      </c>
      <c r="G659">
        <v>114.8935647</v>
      </c>
      <c r="H659">
        <v>18.775666130000001</v>
      </c>
      <c r="J659" s="1">
        <v>44964</v>
      </c>
    </row>
    <row r="660" spans="1:10" x14ac:dyDescent="0.3">
      <c r="A660">
        <v>986</v>
      </c>
      <c r="B660" t="s">
        <v>12</v>
      </c>
      <c r="C660" t="s">
        <v>41</v>
      </c>
      <c r="D660">
        <v>61.273582429999998</v>
      </c>
      <c r="E660">
        <v>462.77275159999999</v>
      </c>
      <c r="F660">
        <v>660.66542300000003</v>
      </c>
      <c r="G660">
        <v>149.63750709999999</v>
      </c>
      <c r="H660">
        <v>27.319591020000001</v>
      </c>
      <c r="I660" t="s">
        <v>44</v>
      </c>
      <c r="J660" s="1">
        <v>45912</v>
      </c>
    </row>
    <row r="661" spans="1:10" x14ac:dyDescent="0.3">
      <c r="A661">
        <v>375</v>
      </c>
      <c r="C661" t="s">
        <v>41</v>
      </c>
      <c r="D661">
        <v>55.077576700000002</v>
      </c>
      <c r="E661">
        <v>260.87255690000001</v>
      </c>
      <c r="F661">
        <v>383.74144899999999</v>
      </c>
      <c r="G661">
        <v>189.9762695</v>
      </c>
      <c r="H661">
        <v>33.27252876</v>
      </c>
      <c r="J661" s="1">
        <v>45301</v>
      </c>
    </row>
    <row r="662" spans="1:10" x14ac:dyDescent="0.3">
      <c r="A662">
        <v>470</v>
      </c>
      <c r="B662" t="s">
        <v>14</v>
      </c>
      <c r="C662" t="s">
        <v>15</v>
      </c>
      <c r="D662">
        <v>40.7437915</v>
      </c>
      <c r="E662">
        <v>549.74852569999996</v>
      </c>
      <c r="F662">
        <v>306.06963250000001</v>
      </c>
      <c r="G662">
        <v>248.3655617</v>
      </c>
      <c r="H662">
        <v>32.96238992</v>
      </c>
      <c r="J662" s="1">
        <v>45396</v>
      </c>
    </row>
    <row r="663" spans="1:10" x14ac:dyDescent="0.3">
      <c r="A663">
        <v>988</v>
      </c>
      <c r="B663" t="s">
        <v>42</v>
      </c>
      <c r="C663" t="s">
        <v>41</v>
      </c>
      <c r="D663">
        <v>37.241679130000001</v>
      </c>
      <c r="E663">
        <v>581.60068490000003</v>
      </c>
      <c r="F663">
        <v>469.52927840000001</v>
      </c>
      <c r="G663">
        <v>187.65573019999999</v>
      </c>
      <c r="H663">
        <v>31.391790830000001</v>
      </c>
      <c r="I663" t="s">
        <v>40</v>
      </c>
      <c r="J663" s="1">
        <v>45914</v>
      </c>
    </row>
    <row r="664" spans="1:10" x14ac:dyDescent="0.3">
      <c r="A664">
        <v>868</v>
      </c>
      <c r="C664" t="s">
        <v>19</v>
      </c>
      <c r="D664">
        <v>52.68661427</v>
      </c>
      <c r="E664">
        <v>534.49450019999995</v>
      </c>
      <c r="F664">
        <v>302.87194899999997</v>
      </c>
      <c r="G664">
        <v>133.5748735</v>
      </c>
      <c r="H664">
        <v>33.362598490000003</v>
      </c>
      <c r="I664" t="s">
        <v>44</v>
      </c>
      <c r="J664" s="1">
        <v>45794</v>
      </c>
    </row>
    <row r="665" spans="1:10" x14ac:dyDescent="0.3">
      <c r="A665">
        <v>909</v>
      </c>
      <c r="B665" t="s">
        <v>14</v>
      </c>
      <c r="C665" t="s">
        <v>19</v>
      </c>
      <c r="D665">
        <v>30.40609774</v>
      </c>
      <c r="E665">
        <v>428.54529919999999</v>
      </c>
      <c r="F665">
        <v>600.4059317</v>
      </c>
      <c r="G665">
        <v>131.74296620000001</v>
      </c>
      <c r="H665">
        <v>26.055753750000001</v>
      </c>
      <c r="J665" s="1">
        <v>45835</v>
      </c>
    </row>
    <row r="666" spans="1:10" x14ac:dyDescent="0.3">
      <c r="A666">
        <v>742</v>
      </c>
      <c r="B666" t="s">
        <v>10</v>
      </c>
      <c r="C666" t="s">
        <v>19</v>
      </c>
      <c r="D666">
        <v>27.599501010000001</v>
      </c>
      <c r="E666">
        <v>675.4775545</v>
      </c>
      <c r="F666">
        <v>392.44024510000003</v>
      </c>
      <c r="G666">
        <v>206.18307480000001</v>
      </c>
      <c r="H666">
        <v>26.310207219999999</v>
      </c>
      <c r="I666" t="s">
        <v>40</v>
      </c>
      <c r="J666" s="1">
        <v>45668</v>
      </c>
    </row>
    <row r="667" spans="1:10" x14ac:dyDescent="0.3">
      <c r="A667">
        <v>195</v>
      </c>
      <c r="B667" t="s">
        <v>13</v>
      </c>
      <c r="C667" t="s">
        <v>15</v>
      </c>
      <c r="D667">
        <v>62.897565280000002</v>
      </c>
      <c r="E667">
        <v>430.495634</v>
      </c>
      <c r="F667">
        <v>560.77584249999995</v>
      </c>
      <c r="G667">
        <v>82.133288769999993</v>
      </c>
      <c r="H667">
        <v>32.942503930000001</v>
      </c>
      <c r="I667" t="s">
        <v>44</v>
      </c>
      <c r="J667" s="1">
        <v>45121</v>
      </c>
    </row>
    <row r="668" spans="1:10" x14ac:dyDescent="0.3">
      <c r="A668">
        <v>935</v>
      </c>
      <c r="B668" t="s">
        <v>14</v>
      </c>
      <c r="D668">
        <v>50.4957852</v>
      </c>
      <c r="E668">
        <v>619.96380790000001</v>
      </c>
      <c r="F668">
        <v>661.60035340000002</v>
      </c>
      <c r="G668">
        <v>176.6554692</v>
      </c>
      <c r="H668">
        <v>23.045529340000002</v>
      </c>
      <c r="I668" t="s">
        <v>44</v>
      </c>
      <c r="J668" s="1">
        <v>45861</v>
      </c>
    </row>
    <row r="669" spans="1:10" x14ac:dyDescent="0.3">
      <c r="A669">
        <v>882</v>
      </c>
      <c r="B669" t="s">
        <v>12</v>
      </c>
      <c r="C669" t="s">
        <v>17</v>
      </c>
      <c r="D669">
        <v>44.576276790000001</v>
      </c>
      <c r="E669">
        <v>428.49518169999999</v>
      </c>
      <c r="F669">
        <v>439.53742349999999</v>
      </c>
      <c r="G669">
        <v>127.5424738</v>
      </c>
      <c r="H669">
        <v>28.60142355</v>
      </c>
      <c r="I669" t="s">
        <v>16</v>
      </c>
      <c r="J669" s="1">
        <v>45808</v>
      </c>
    </row>
    <row r="670" spans="1:10" x14ac:dyDescent="0.3">
      <c r="A670">
        <v>504</v>
      </c>
      <c r="B670" t="s">
        <v>10</v>
      </c>
      <c r="C670" t="s">
        <v>17</v>
      </c>
      <c r="D670">
        <v>55.029004049999998</v>
      </c>
      <c r="E670">
        <v>438.04443250000003</v>
      </c>
      <c r="F670">
        <v>502.69334600000002</v>
      </c>
      <c r="G670">
        <v>182.85174169999999</v>
      </c>
      <c r="H670">
        <v>33.832756770000003</v>
      </c>
      <c r="I670" t="s">
        <v>40</v>
      </c>
      <c r="J670" s="1">
        <v>45430</v>
      </c>
    </row>
    <row r="671" spans="1:10" x14ac:dyDescent="0.3">
      <c r="A671">
        <v>990</v>
      </c>
      <c r="B671" t="s">
        <v>13</v>
      </c>
      <c r="C671" t="s">
        <v>17</v>
      </c>
      <c r="D671">
        <v>44.322942159999997</v>
      </c>
      <c r="E671">
        <v>516.66616869999996</v>
      </c>
      <c r="F671">
        <v>435.67359219999997</v>
      </c>
      <c r="G671">
        <v>244.73385709999999</v>
      </c>
      <c r="H671">
        <v>36.610835729999998</v>
      </c>
      <c r="I671" t="s">
        <v>40</v>
      </c>
      <c r="J671" s="1">
        <v>45916</v>
      </c>
    </row>
    <row r="672" spans="1:10" x14ac:dyDescent="0.3">
      <c r="A672">
        <v>848</v>
      </c>
      <c r="B672" t="s">
        <v>10</v>
      </c>
      <c r="C672" t="s">
        <v>11</v>
      </c>
      <c r="D672">
        <v>48.156433489999998</v>
      </c>
      <c r="E672">
        <v>664.11595390000002</v>
      </c>
      <c r="F672">
        <v>372.24148300000002</v>
      </c>
      <c r="G672">
        <v>218.82550689999999</v>
      </c>
      <c r="H672">
        <v>21.507151449999999</v>
      </c>
      <c r="I672" t="s">
        <v>40</v>
      </c>
      <c r="J672" s="1">
        <v>45774</v>
      </c>
    </row>
    <row r="673" spans="1:10" x14ac:dyDescent="0.3">
      <c r="A673">
        <v>580</v>
      </c>
      <c r="B673" t="s">
        <v>43</v>
      </c>
      <c r="D673">
        <v>55.76758066</v>
      </c>
      <c r="E673">
        <v>440.70734670000002</v>
      </c>
      <c r="F673">
        <v>405.10815450000001</v>
      </c>
      <c r="G673">
        <v>204.34851090000001</v>
      </c>
      <c r="H673">
        <v>34.312011439999999</v>
      </c>
      <c r="I673" t="s">
        <v>44</v>
      </c>
      <c r="J673" s="1">
        <v>45506</v>
      </c>
    </row>
    <row r="674" spans="1:10" x14ac:dyDescent="0.3">
      <c r="A674">
        <v>989</v>
      </c>
      <c r="C674" t="s">
        <v>15</v>
      </c>
      <c r="D674">
        <v>49.698557299999997</v>
      </c>
      <c r="E674">
        <v>586.51986079999995</v>
      </c>
      <c r="F674">
        <v>582.41057420000004</v>
      </c>
      <c r="G674">
        <v>307.25182100000001</v>
      </c>
      <c r="H674">
        <v>25.80259204</v>
      </c>
      <c r="I674" t="s">
        <v>40</v>
      </c>
      <c r="J674" s="1">
        <v>45915</v>
      </c>
    </row>
    <row r="675" spans="1:10" x14ac:dyDescent="0.3">
      <c r="A675">
        <v>163</v>
      </c>
      <c r="B675" t="s">
        <v>12</v>
      </c>
      <c r="E675">
        <v>478.1964122</v>
      </c>
      <c r="F675">
        <v>436.94808769999997</v>
      </c>
      <c r="G675">
        <v>170.5922822</v>
      </c>
      <c r="H675">
        <v>31.565558840000001</v>
      </c>
      <c r="J675" s="1">
        <v>45089</v>
      </c>
    </row>
    <row r="676" spans="1:10" x14ac:dyDescent="0.3">
      <c r="A676">
        <v>718</v>
      </c>
      <c r="B676" t="s">
        <v>10</v>
      </c>
      <c r="D676">
        <v>52.412381379999999</v>
      </c>
      <c r="E676">
        <v>470.77402380000001</v>
      </c>
      <c r="F676">
        <v>439.90362620000002</v>
      </c>
      <c r="G676">
        <v>247.877736</v>
      </c>
      <c r="H676">
        <v>33.294069870000001</v>
      </c>
      <c r="I676" t="s">
        <v>16</v>
      </c>
      <c r="J676" s="1">
        <v>45644</v>
      </c>
    </row>
    <row r="677" spans="1:10" x14ac:dyDescent="0.3">
      <c r="A677">
        <v>153</v>
      </c>
      <c r="B677" t="s">
        <v>13</v>
      </c>
      <c r="C677" t="s">
        <v>17</v>
      </c>
      <c r="D677">
        <v>51.39342594</v>
      </c>
      <c r="E677">
        <v>654.79997539999999</v>
      </c>
      <c r="F677">
        <v>379.14348769999998</v>
      </c>
      <c r="G677">
        <v>191.92220080000001</v>
      </c>
      <c r="H677">
        <v>36.022972899999999</v>
      </c>
      <c r="I677" t="s">
        <v>18</v>
      </c>
      <c r="J677" s="1">
        <v>45079</v>
      </c>
    </row>
    <row r="678" spans="1:10" x14ac:dyDescent="0.3">
      <c r="A678">
        <v>697</v>
      </c>
      <c r="B678" t="s">
        <v>14</v>
      </c>
      <c r="C678" t="s">
        <v>15</v>
      </c>
      <c r="D678">
        <v>61.881457349999998</v>
      </c>
      <c r="E678">
        <v>418.2599103</v>
      </c>
      <c r="F678">
        <v>354.43741519999998</v>
      </c>
      <c r="G678">
        <v>214.09593939999999</v>
      </c>
      <c r="H678">
        <v>30.374306529999998</v>
      </c>
      <c r="I678" t="s">
        <v>18</v>
      </c>
      <c r="J678" s="1">
        <v>45623</v>
      </c>
    </row>
    <row r="679" spans="1:10" x14ac:dyDescent="0.3">
      <c r="A679">
        <v>716</v>
      </c>
      <c r="B679" t="s">
        <v>10</v>
      </c>
      <c r="C679" t="s">
        <v>11</v>
      </c>
      <c r="D679">
        <v>52.036720850000002</v>
      </c>
      <c r="E679">
        <v>616.46652089999998</v>
      </c>
      <c r="F679">
        <v>605.99930010000003</v>
      </c>
      <c r="G679">
        <v>68.889042270000004</v>
      </c>
      <c r="H679">
        <v>29.939282939999998</v>
      </c>
      <c r="I679" t="s">
        <v>40</v>
      </c>
      <c r="J679" s="1">
        <v>45642</v>
      </c>
    </row>
    <row r="680" spans="1:10" x14ac:dyDescent="0.3">
      <c r="A680">
        <v>929</v>
      </c>
      <c r="B680" t="s">
        <v>43</v>
      </c>
      <c r="C680" t="s">
        <v>17</v>
      </c>
      <c r="D680">
        <v>40.132139539999997</v>
      </c>
      <c r="E680">
        <v>502.12804369999998</v>
      </c>
      <c r="F680">
        <v>515.68738240000005</v>
      </c>
      <c r="G680">
        <v>222.25521269999999</v>
      </c>
      <c r="H680">
        <v>30.4818462</v>
      </c>
      <c r="I680" t="s">
        <v>40</v>
      </c>
      <c r="J680" s="1">
        <v>45855</v>
      </c>
    </row>
    <row r="681" spans="1:10" x14ac:dyDescent="0.3">
      <c r="A681">
        <v>112</v>
      </c>
      <c r="B681" t="s">
        <v>14</v>
      </c>
      <c r="C681" t="s">
        <v>17</v>
      </c>
      <c r="D681">
        <v>49.495771480000002</v>
      </c>
      <c r="E681">
        <v>594.49716650000005</v>
      </c>
      <c r="F681">
        <v>412.6094478</v>
      </c>
      <c r="G681">
        <v>240.45580340000001</v>
      </c>
      <c r="H681">
        <v>20.99248502</v>
      </c>
      <c r="I681" t="s">
        <v>40</v>
      </c>
      <c r="J681" s="1">
        <v>45038</v>
      </c>
    </row>
    <row r="682" spans="1:10" x14ac:dyDescent="0.3">
      <c r="A682">
        <v>227</v>
      </c>
      <c r="B682" t="s">
        <v>14</v>
      </c>
      <c r="C682" t="s">
        <v>17</v>
      </c>
      <c r="D682">
        <v>48.111033120000002</v>
      </c>
      <c r="E682">
        <v>584.15283420000003</v>
      </c>
      <c r="F682">
        <v>434.79594839999999</v>
      </c>
      <c r="G682">
        <v>134.5610844</v>
      </c>
      <c r="H682">
        <v>42.755871259999999</v>
      </c>
      <c r="I682" t="s">
        <v>44</v>
      </c>
      <c r="J682" s="1">
        <v>45153</v>
      </c>
    </row>
    <row r="683" spans="1:10" x14ac:dyDescent="0.3">
      <c r="A683">
        <v>704</v>
      </c>
      <c r="B683" t="s">
        <v>14</v>
      </c>
      <c r="C683" t="s">
        <v>41</v>
      </c>
      <c r="D683">
        <v>56.563608700000003</v>
      </c>
      <c r="E683">
        <v>553.71784279999997</v>
      </c>
      <c r="F683">
        <v>573.05084799999997</v>
      </c>
      <c r="G683">
        <v>206.22734009999999</v>
      </c>
      <c r="H683">
        <v>23.890964530000002</v>
      </c>
      <c r="I683" t="s">
        <v>44</v>
      </c>
      <c r="J683" s="1">
        <v>45630</v>
      </c>
    </row>
    <row r="684" spans="1:10" x14ac:dyDescent="0.3">
      <c r="A684">
        <v>104</v>
      </c>
      <c r="B684" t="s">
        <v>14</v>
      </c>
      <c r="C684" t="s">
        <v>11</v>
      </c>
      <c r="D684">
        <v>37.461917659999997</v>
      </c>
      <c r="E684">
        <v>612.55877710000004</v>
      </c>
      <c r="F684">
        <v>602.17886969999995</v>
      </c>
      <c r="G684">
        <v>235.4892145</v>
      </c>
      <c r="H684">
        <v>40.286359320000003</v>
      </c>
      <c r="J684" s="1">
        <v>45030</v>
      </c>
    </row>
    <row r="685" spans="1:10" x14ac:dyDescent="0.3">
      <c r="A685">
        <v>422</v>
      </c>
      <c r="B685" t="s">
        <v>42</v>
      </c>
      <c r="D685">
        <v>70.605586169999995</v>
      </c>
      <c r="E685">
        <v>614.66239169999994</v>
      </c>
      <c r="F685">
        <v>561.17301799999996</v>
      </c>
      <c r="G685">
        <v>169.1584561</v>
      </c>
      <c r="H685">
        <v>30.208868290000002</v>
      </c>
      <c r="I685" t="s">
        <v>16</v>
      </c>
      <c r="J685" s="1">
        <v>45348</v>
      </c>
    </row>
    <row r="686" spans="1:10" x14ac:dyDescent="0.3">
      <c r="A686">
        <v>420</v>
      </c>
      <c r="B686" t="s">
        <v>43</v>
      </c>
      <c r="C686" t="s">
        <v>19</v>
      </c>
      <c r="D686">
        <v>49.690610030000002</v>
      </c>
      <c r="F686">
        <v>436.95554720000001</v>
      </c>
      <c r="G686">
        <v>255.4021429</v>
      </c>
      <c r="H686">
        <v>28.5368469</v>
      </c>
      <c r="I686" t="s">
        <v>16</v>
      </c>
      <c r="J686" s="1">
        <v>45346</v>
      </c>
    </row>
    <row r="687" spans="1:10" x14ac:dyDescent="0.3">
      <c r="A687">
        <v>849</v>
      </c>
      <c r="B687" t="s">
        <v>12</v>
      </c>
      <c r="D687">
        <v>45.604112890000003</v>
      </c>
      <c r="E687">
        <v>612.94735890000004</v>
      </c>
      <c r="F687">
        <v>653.50375919999999</v>
      </c>
      <c r="G687">
        <v>156.97579630000001</v>
      </c>
      <c r="H687">
        <v>39.255270879999998</v>
      </c>
      <c r="I687" t="s">
        <v>40</v>
      </c>
      <c r="J687" s="1">
        <v>45775</v>
      </c>
    </row>
    <row r="688" spans="1:10" x14ac:dyDescent="0.3">
      <c r="A688">
        <v>587</v>
      </c>
      <c r="B688" t="s">
        <v>14</v>
      </c>
      <c r="C688" t="s">
        <v>41</v>
      </c>
      <c r="D688">
        <v>61.986413720000002</v>
      </c>
      <c r="E688">
        <v>634.17007630000001</v>
      </c>
      <c r="F688">
        <v>448.54258270000003</v>
      </c>
      <c r="G688">
        <v>206.60932349999999</v>
      </c>
      <c r="H688">
        <v>31.656096389999998</v>
      </c>
      <c r="I688" t="s">
        <v>40</v>
      </c>
      <c r="J688" s="1">
        <v>45513</v>
      </c>
    </row>
    <row r="689" spans="1:10" x14ac:dyDescent="0.3">
      <c r="A689">
        <v>797</v>
      </c>
      <c r="B689" t="s">
        <v>10</v>
      </c>
      <c r="C689" t="s">
        <v>41</v>
      </c>
      <c r="D689">
        <v>56.593805860000003</v>
      </c>
      <c r="E689">
        <v>542.87906399999997</v>
      </c>
      <c r="F689">
        <v>616.60986249999996</v>
      </c>
      <c r="G689">
        <v>219.58882610000001</v>
      </c>
      <c r="H689">
        <v>28.10449126</v>
      </c>
      <c r="I689" t="s">
        <v>40</v>
      </c>
      <c r="J689" s="1">
        <v>45723</v>
      </c>
    </row>
    <row r="690" spans="1:10" x14ac:dyDescent="0.3">
      <c r="A690">
        <v>673</v>
      </c>
      <c r="B690" t="s">
        <v>12</v>
      </c>
      <c r="C690" t="s">
        <v>41</v>
      </c>
      <c r="D690">
        <v>42.909662879999999</v>
      </c>
      <c r="E690">
        <v>490.76015610000002</v>
      </c>
      <c r="G690">
        <v>132.1981777</v>
      </c>
      <c r="H690">
        <v>25.317769739999999</v>
      </c>
      <c r="I690" t="s">
        <v>18</v>
      </c>
      <c r="J690" s="1">
        <v>45599</v>
      </c>
    </row>
    <row r="691" spans="1:10" x14ac:dyDescent="0.3">
      <c r="A691">
        <v>120</v>
      </c>
      <c r="B691" t="s">
        <v>43</v>
      </c>
      <c r="C691" t="s">
        <v>11</v>
      </c>
      <c r="D691">
        <v>49.131552229999997</v>
      </c>
      <c r="E691">
        <v>418.35960139999997</v>
      </c>
      <c r="F691">
        <v>630.57743319999997</v>
      </c>
      <c r="G691">
        <v>280.99123020000002</v>
      </c>
      <c r="H691">
        <v>33.702726830000003</v>
      </c>
      <c r="I691" t="s">
        <v>16</v>
      </c>
      <c r="J691" s="1">
        <v>45046</v>
      </c>
    </row>
    <row r="692" spans="1:10" x14ac:dyDescent="0.3">
      <c r="A692">
        <v>54</v>
      </c>
      <c r="B692" t="s">
        <v>43</v>
      </c>
      <c r="C692" t="s">
        <v>11</v>
      </c>
      <c r="D692">
        <v>42.681229139999999</v>
      </c>
      <c r="E692" t="s">
        <v>46</v>
      </c>
      <c r="F692">
        <v>403.5995886</v>
      </c>
      <c r="G692">
        <v>218.85460470000001</v>
      </c>
      <c r="H692">
        <v>28.876885380000001</v>
      </c>
      <c r="I692" t="s">
        <v>40</v>
      </c>
      <c r="J692" s="1">
        <v>44980</v>
      </c>
    </row>
    <row r="693" spans="1:10" x14ac:dyDescent="0.3">
      <c r="A693">
        <v>152</v>
      </c>
      <c r="B693" t="s">
        <v>42</v>
      </c>
      <c r="C693" t="s">
        <v>41</v>
      </c>
      <c r="D693">
        <v>50.092917530000001</v>
      </c>
      <c r="E693">
        <v>363.12954559999997</v>
      </c>
      <c r="F693">
        <v>422.8813677</v>
      </c>
      <c r="G693">
        <v>240.56017639999999</v>
      </c>
      <c r="H693">
        <v>29.866974469999999</v>
      </c>
      <c r="I693" t="s">
        <v>40</v>
      </c>
      <c r="J693" s="1">
        <v>45078</v>
      </c>
    </row>
    <row r="694" spans="1:10" x14ac:dyDescent="0.3">
      <c r="A694">
        <v>404</v>
      </c>
      <c r="B694" t="s">
        <v>13</v>
      </c>
      <c r="D694">
        <v>59.893694379999999</v>
      </c>
      <c r="E694">
        <v>436.02354730000002</v>
      </c>
      <c r="F694">
        <v>451.27477779999998</v>
      </c>
      <c r="G694">
        <v>183.80337499999999</v>
      </c>
      <c r="H694">
        <v>29.875836660000001</v>
      </c>
      <c r="I694" t="s">
        <v>40</v>
      </c>
      <c r="J694" s="1">
        <v>45330</v>
      </c>
    </row>
    <row r="695" spans="1:10" x14ac:dyDescent="0.3">
      <c r="A695">
        <v>964</v>
      </c>
      <c r="B695" t="s">
        <v>43</v>
      </c>
      <c r="C695" t="s">
        <v>11</v>
      </c>
      <c r="D695">
        <v>29.610387230000001</v>
      </c>
      <c r="E695">
        <v>614.6879199</v>
      </c>
      <c r="F695">
        <v>169.3900041</v>
      </c>
      <c r="G695">
        <v>215.17185929999999</v>
      </c>
      <c r="H695">
        <v>30.468666519999999</v>
      </c>
      <c r="I695" t="s">
        <v>16</v>
      </c>
    </row>
    <row r="696" spans="1:10" x14ac:dyDescent="0.3">
      <c r="A696">
        <v>208</v>
      </c>
      <c r="B696" t="s">
        <v>10</v>
      </c>
      <c r="C696" t="s">
        <v>41</v>
      </c>
      <c r="D696">
        <v>42.99884127</v>
      </c>
      <c r="E696">
        <v>463.04144710000003</v>
      </c>
      <c r="F696">
        <v>376.85999520000001</v>
      </c>
      <c r="G696">
        <v>195.10067770000001</v>
      </c>
      <c r="H696">
        <v>26.886262200000001</v>
      </c>
      <c r="I696" t="s">
        <v>40</v>
      </c>
      <c r="J696" s="1">
        <v>45134</v>
      </c>
    </row>
    <row r="697" spans="1:10" x14ac:dyDescent="0.3">
      <c r="A697">
        <v>659</v>
      </c>
      <c r="B697" t="s">
        <v>43</v>
      </c>
      <c r="D697">
        <v>37.336594939999998</v>
      </c>
      <c r="E697">
        <v>607.42472339999995</v>
      </c>
      <c r="F697">
        <v>468.56283350000001</v>
      </c>
      <c r="G697">
        <v>186.7189089</v>
      </c>
      <c r="H697">
        <v>29.155067509999999</v>
      </c>
      <c r="I697" t="s">
        <v>44</v>
      </c>
      <c r="J697" s="1">
        <v>45585</v>
      </c>
    </row>
    <row r="698" spans="1:10" x14ac:dyDescent="0.3">
      <c r="A698">
        <v>7</v>
      </c>
      <c r="B698" t="s">
        <v>43</v>
      </c>
      <c r="C698" t="s">
        <v>11</v>
      </c>
      <c r="D698">
        <v>55.055018109999999</v>
      </c>
      <c r="E698">
        <v>563.97873319999997</v>
      </c>
      <c r="F698">
        <v>472.48025719999998</v>
      </c>
      <c r="G698">
        <v>216.66200180000001</v>
      </c>
      <c r="H698">
        <v>35.118881510000001</v>
      </c>
      <c r="I698" t="s">
        <v>18</v>
      </c>
      <c r="J698" s="1">
        <v>44933</v>
      </c>
    </row>
    <row r="699" spans="1:10" x14ac:dyDescent="0.3">
      <c r="B699" t="s">
        <v>43</v>
      </c>
      <c r="C699" t="s">
        <v>15</v>
      </c>
      <c r="D699">
        <v>40.336876140000001</v>
      </c>
      <c r="E699">
        <v>584.6518092</v>
      </c>
      <c r="F699">
        <v>537.45824979999998</v>
      </c>
      <c r="G699">
        <v>145.7964758</v>
      </c>
      <c r="H699">
        <v>28.9115717</v>
      </c>
      <c r="I699" t="s">
        <v>18</v>
      </c>
      <c r="J699" s="1">
        <v>45705</v>
      </c>
    </row>
    <row r="700" spans="1:10" x14ac:dyDescent="0.3">
      <c r="A700">
        <v>9</v>
      </c>
      <c r="B700" t="s">
        <v>12</v>
      </c>
      <c r="C700" t="s">
        <v>11</v>
      </c>
      <c r="D700">
        <v>52.696693570000001</v>
      </c>
      <c r="E700">
        <v>524.04712489999997</v>
      </c>
      <c r="F700">
        <v>573.64113740000005</v>
      </c>
      <c r="G700">
        <v>115.5271331</v>
      </c>
      <c r="H700">
        <v>32.444636199999998</v>
      </c>
      <c r="I700" t="s">
        <v>16</v>
      </c>
      <c r="J700" s="1">
        <v>44935</v>
      </c>
    </row>
    <row r="701" spans="1:10" x14ac:dyDescent="0.3">
      <c r="A701">
        <v>825</v>
      </c>
      <c r="B701" t="s">
        <v>13</v>
      </c>
      <c r="C701" t="s">
        <v>15</v>
      </c>
      <c r="D701">
        <v>31.899675970000001</v>
      </c>
      <c r="E701">
        <v>636.92547969999998</v>
      </c>
      <c r="F701">
        <v>369.5300527</v>
      </c>
      <c r="G701">
        <v>260.4341005</v>
      </c>
      <c r="H701">
        <v>26.350652069999999</v>
      </c>
      <c r="I701" t="s">
        <v>40</v>
      </c>
      <c r="J701" s="1">
        <v>45751</v>
      </c>
    </row>
    <row r="702" spans="1:10" x14ac:dyDescent="0.3">
      <c r="A702">
        <v>37</v>
      </c>
      <c r="B702" t="s">
        <v>12</v>
      </c>
      <c r="C702" t="s">
        <v>15</v>
      </c>
      <c r="D702">
        <v>60.235215220000001</v>
      </c>
      <c r="E702">
        <v>542.13798110000005</v>
      </c>
      <c r="F702">
        <v>428.31423590000003</v>
      </c>
      <c r="G702">
        <v>222.1761869</v>
      </c>
      <c r="H702">
        <v>32.195342779999997</v>
      </c>
      <c r="I702" t="s">
        <v>18</v>
      </c>
    </row>
    <row r="703" spans="1:10" x14ac:dyDescent="0.3">
      <c r="A703">
        <v>453</v>
      </c>
      <c r="B703" t="s">
        <v>14</v>
      </c>
      <c r="C703" t="s">
        <v>15</v>
      </c>
      <c r="D703">
        <v>41.975072670000003</v>
      </c>
      <c r="E703">
        <v>618.99113969999996</v>
      </c>
      <c r="F703">
        <v>796.02455280000004</v>
      </c>
      <c r="G703">
        <v>162.648034</v>
      </c>
      <c r="H703">
        <v>28.224417169999999</v>
      </c>
      <c r="J703" s="1">
        <v>45379</v>
      </c>
    </row>
    <row r="704" spans="1:10" x14ac:dyDescent="0.3">
      <c r="A704">
        <v>652</v>
      </c>
      <c r="C704" t="s">
        <v>19</v>
      </c>
      <c r="D704">
        <v>76.631823499999996</v>
      </c>
      <c r="E704">
        <v>651.30092660000003</v>
      </c>
      <c r="F704">
        <v>276.8782061</v>
      </c>
      <c r="G704">
        <v>291.5811142</v>
      </c>
      <c r="H704">
        <v>31.59894997</v>
      </c>
      <c r="I704" t="s">
        <v>18</v>
      </c>
      <c r="J704" s="1">
        <v>45578</v>
      </c>
    </row>
    <row r="705" spans="1:10" x14ac:dyDescent="0.3">
      <c r="A705">
        <v>254</v>
      </c>
      <c r="B705" t="s">
        <v>14</v>
      </c>
      <c r="C705" t="s">
        <v>11</v>
      </c>
      <c r="D705">
        <v>51.392154089999998</v>
      </c>
      <c r="E705">
        <v>617.52831079999999</v>
      </c>
      <c r="F705">
        <v>590.07781939999995</v>
      </c>
      <c r="G705">
        <v>187.09596450000001</v>
      </c>
      <c r="H705">
        <v>22.387926530000001</v>
      </c>
      <c r="J705" s="1">
        <v>45180</v>
      </c>
    </row>
    <row r="706" spans="1:10" x14ac:dyDescent="0.3">
      <c r="A706">
        <v>304</v>
      </c>
      <c r="C706" t="s">
        <v>41</v>
      </c>
      <c r="D706">
        <v>57.013730649999999</v>
      </c>
      <c r="E706">
        <v>152.85701080000001</v>
      </c>
      <c r="F706">
        <v>343.4775052</v>
      </c>
      <c r="G706">
        <v>227.3136805</v>
      </c>
      <c r="H706">
        <v>29.01609526</v>
      </c>
      <c r="I706" t="s">
        <v>16</v>
      </c>
      <c r="J706" s="1">
        <v>45230</v>
      </c>
    </row>
    <row r="707" spans="1:10" x14ac:dyDescent="0.3">
      <c r="A707">
        <v>763</v>
      </c>
      <c r="B707" t="s">
        <v>13</v>
      </c>
      <c r="C707" t="s">
        <v>15</v>
      </c>
      <c r="D707">
        <v>45.979332550000002</v>
      </c>
      <c r="E707">
        <v>500.13796509999997</v>
      </c>
      <c r="F707">
        <v>541.22731739999995</v>
      </c>
      <c r="H707">
        <v>19.90296936</v>
      </c>
      <c r="J707" s="1">
        <v>45689</v>
      </c>
    </row>
    <row r="708" spans="1:10" x14ac:dyDescent="0.3">
      <c r="A708">
        <v>572</v>
      </c>
      <c r="B708" t="s">
        <v>10</v>
      </c>
      <c r="C708" t="s">
        <v>11</v>
      </c>
      <c r="D708">
        <v>58.009366399999998</v>
      </c>
      <c r="E708">
        <v>542.49661160000005</v>
      </c>
      <c r="F708">
        <v>272.09471710000003</v>
      </c>
      <c r="G708">
        <v>212.72998849999999</v>
      </c>
      <c r="H708">
        <v>27.911970159999999</v>
      </c>
      <c r="I708" t="s">
        <v>40</v>
      </c>
      <c r="J708" s="1">
        <v>45498</v>
      </c>
    </row>
    <row r="709" spans="1:10" x14ac:dyDescent="0.3">
      <c r="A709">
        <v>624</v>
      </c>
      <c r="B709" t="s">
        <v>10</v>
      </c>
      <c r="C709" t="s">
        <v>19</v>
      </c>
      <c r="D709">
        <v>65.681047950000007</v>
      </c>
      <c r="E709">
        <v>470.2389038</v>
      </c>
      <c r="F709">
        <v>703.52957909999998</v>
      </c>
      <c r="G709">
        <v>205.21139700000001</v>
      </c>
      <c r="H709">
        <v>31.686815330000002</v>
      </c>
      <c r="I709" t="s">
        <v>44</v>
      </c>
      <c r="J709" s="1">
        <v>45550</v>
      </c>
    </row>
    <row r="710" spans="1:10" x14ac:dyDescent="0.3">
      <c r="A710">
        <v>859</v>
      </c>
      <c r="B710" t="s">
        <v>10</v>
      </c>
      <c r="D710">
        <v>60.844795830000002</v>
      </c>
      <c r="E710">
        <v>167.524428</v>
      </c>
      <c r="F710">
        <v>463.90132290000003</v>
      </c>
      <c r="G710">
        <v>130.5561495</v>
      </c>
      <c r="H710">
        <v>39.56363425</v>
      </c>
      <c r="I710" t="s">
        <v>18</v>
      </c>
      <c r="J710" s="1">
        <v>45785</v>
      </c>
    </row>
    <row r="711" spans="1:10" x14ac:dyDescent="0.3">
      <c r="A711">
        <v>759</v>
      </c>
      <c r="B711" t="s">
        <v>43</v>
      </c>
      <c r="C711" t="s">
        <v>19</v>
      </c>
      <c r="D711">
        <v>53.72434647</v>
      </c>
      <c r="E711">
        <v>618.95150430000001</v>
      </c>
      <c r="F711">
        <v>293.58866419999998</v>
      </c>
      <c r="G711">
        <v>206.32064149999999</v>
      </c>
      <c r="H711">
        <v>29.188587760000001</v>
      </c>
      <c r="I711" t="s">
        <v>18</v>
      </c>
      <c r="J711" s="1">
        <v>45685</v>
      </c>
    </row>
    <row r="712" spans="1:10" x14ac:dyDescent="0.3">
      <c r="A712">
        <v>263</v>
      </c>
      <c r="B712" t="s">
        <v>42</v>
      </c>
      <c r="C712" t="s">
        <v>19</v>
      </c>
      <c r="D712">
        <v>47.246767759999997</v>
      </c>
      <c r="E712">
        <v>430.43286219999999</v>
      </c>
      <c r="F712">
        <v>383.0137909</v>
      </c>
      <c r="G712">
        <v>254.59730859999999</v>
      </c>
      <c r="H712">
        <v>21.45418222</v>
      </c>
      <c r="I712" t="s">
        <v>16</v>
      </c>
      <c r="J712" s="1">
        <v>45189</v>
      </c>
    </row>
    <row r="713" spans="1:10" x14ac:dyDescent="0.3">
      <c r="A713">
        <v>611</v>
      </c>
      <c r="B713" t="s">
        <v>10</v>
      </c>
      <c r="C713" t="s">
        <v>15</v>
      </c>
      <c r="D713">
        <v>53.547784819999997</v>
      </c>
      <c r="E713">
        <v>702.86289239999996</v>
      </c>
      <c r="F713">
        <v>630.37067009999998</v>
      </c>
      <c r="G713">
        <v>200.2969085</v>
      </c>
      <c r="H713">
        <v>35.273889070000003</v>
      </c>
      <c r="I713" t="s">
        <v>40</v>
      </c>
      <c r="J713" s="1">
        <v>45537</v>
      </c>
    </row>
    <row r="714" spans="1:10" x14ac:dyDescent="0.3">
      <c r="A714">
        <v>298</v>
      </c>
      <c r="B714" t="s">
        <v>10</v>
      </c>
      <c r="D714">
        <v>42.887013750000001</v>
      </c>
      <c r="E714">
        <v>595.78822279999997</v>
      </c>
      <c r="F714">
        <v>498.29217199999999</v>
      </c>
      <c r="G714">
        <v>231.09729050000001</v>
      </c>
      <c r="H714">
        <v>28.451700939999998</v>
      </c>
      <c r="J714" s="1">
        <v>45224</v>
      </c>
    </row>
    <row r="715" spans="1:10" x14ac:dyDescent="0.3">
      <c r="A715">
        <v>415</v>
      </c>
      <c r="B715" t="s">
        <v>42</v>
      </c>
      <c r="D715">
        <v>58.631002260000002</v>
      </c>
      <c r="E715">
        <v>681.33439520000002</v>
      </c>
      <c r="F715">
        <v>264.39143840000003</v>
      </c>
      <c r="G715">
        <v>151.52482470000001</v>
      </c>
      <c r="H715">
        <v>25.854454100000002</v>
      </c>
      <c r="J715" s="1">
        <v>45341</v>
      </c>
    </row>
    <row r="716" spans="1:10" x14ac:dyDescent="0.3">
      <c r="A716">
        <v>151</v>
      </c>
      <c r="B716" t="s">
        <v>10</v>
      </c>
      <c r="C716" t="s">
        <v>15</v>
      </c>
      <c r="D716">
        <v>44.112364640000003</v>
      </c>
      <c r="E716">
        <v>607.51759360000005</v>
      </c>
      <c r="F716">
        <v>659.53226800000004</v>
      </c>
      <c r="G716">
        <v>232.46823420000001</v>
      </c>
      <c r="H716">
        <v>26.322755399999998</v>
      </c>
      <c r="J716" s="1">
        <v>45077</v>
      </c>
    </row>
    <row r="717" spans="1:10" x14ac:dyDescent="0.3">
      <c r="A717">
        <v>862</v>
      </c>
      <c r="B717" t="s">
        <v>10</v>
      </c>
      <c r="C717" t="s">
        <v>11</v>
      </c>
      <c r="D717">
        <v>77.308672329999993</v>
      </c>
      <c r="E717">
        <v>603.58252379999999</v>
      </c>
      <c r="F717">
        <v>463.90257880000001</v>
      </c>
      <c r="G717">
        <v>220.74122410000001</v>
      </c>
      <c r="H717">
        <v>35.95868918</v>
      </c>
      <c r="I717" t="s">
        <v>44</v>
      </c>
      <c r="J717" s="1">
        <v>45788</v>
      </c>
    </row>
    <row r="718" spans="1:10" x14ac:dyDescent="0.3">
      <c r="A718">
        <v>641</v>
      </c>
      <c r="C718" t="s">
        <v>17</v>
      </c>
      <c r="D718">
        <v>36.668426889999999</v>
      </c>
      <c r="E718">
        <v>374.57011369999998</v>
      </c>
      <c r="F718">
        <v>446.80369569999999</v>
      </c>
      <c r="G718">
        <v>207.14255059999999</v>
      </c>
      <c r="H718">
        <v>28.09060328</v>
      </c>
      <c r="I718" t="s">
        <v>16</v>
      </c>
      <c r="J718" s="1">
        <v>45567</v>
      </c>
    </row>
    <row r="719" spans="1:10" x14ac:dyDescent="0.3">
      <c r="A719">
        <v>907</v>
      </c>
      <c r="B719" t="s">
        <v>13</v>
      </c>
      <c r="C719" t="s">
        <v>15</v>
      </c>
      <c r="D719">
        <v>76.781098740000004</v>
      </c>
      <c r="E719">
        <v>485.81983750000001</v>
      </c>
      <c r="F719">
        <v>559.52709919999995</v>
      </c>
      <c r="G719">
        <v>147.6731327</v>
      </c>
      <c r="H719">
        <v>25.495149909999999</v>
      </c>
      <c r="J719" s="1">
        <v>45833</v>
      </c>
    </row>
    <row r="720" spans="1:10" x14ac:dyDescent="0.3">
      <c r="A720">
        <v>551</v>
      </c>
      <c r="B720" t="s">
        <v>42</v>
      </c>
      <c r="D720">
        <v>61.665485910000001</v>
      </c>
      <c r="E720">
        <v>570.76364239999998</v>
      </c>
      <c r="F720">
        <v>624.12177129999998</v>
      </c>
      <c r="G720">
        <v>197.5397542</v>
      </c>
      <c r="H720">
        <v>37.906359760000001</v>
      </c>
      <c r="I720" t="s">
        <v>18</v>
      </c>
      <c r="J720" s="1">
        <v>45477</v>
      </c>
    </row>
    <row r="721" spans="1:10" x14ac:dyDescent="0.3">
      <c r="A721">
        <v>808</v>
      </c>
      <c r="C721" t="s">
        <v>11</v>
      </c>
      <c r="D721">
        <v>41.360487790000001</v>
      </c>
      <c r="E721">
        <v>451.53712359999997</v>
      </c>
      <c r="F721">
        <v>417.94355030000003</v>
      </c>
      <c r="G721">
        <v>251.1600487</v>
      </c>
      <c r="H721">
        <v>29.721330300000002</v>
      </c>
    </row>
    <row r="722" spans="1:10" x14ac:dyDescent="0.3">
      <c r="A722">
        <v>489</v>
      </c>
      <c r="B722" t="s">
        <v>12</v>
      </c>
      <c r="C722" t="s">
        <v>41</v>
      </c>
      <c r="D722">
        <v>45.161888679999997</v>
      </c>
      <c r="E722">
        <v>430.13951639999999</v>
      </c>
      <c r="F722">
        <v>294.67471760000001</v>
      </c>
      <c r="G722">
        <v>206.20225590000001</v>
      </c>
      <c r="H722">
        <v>29.146266799999999</v>
      </c>
      <c r="I722" t="s">
        <v>40</v>
      </c>
      <c r="J722" s="1">
        <v>45415</v>
      </c>
    </row>
    <row r="723" spans="1:10" x14ac:dyDescent="0.3">
      <c r="A723">
        <v>711</v>
      </c>
      <c r="B723" t="s">
        <v>12</v>
      </c>
      <c r="C723" t="s">
        <v>11</v>
      </c>
      <c r="D723">
        <v>52.97982236</v>
      </c>
      <c r="E723">
        <v>466.73626819999998</v>
      </c>
      <c r="F723">
        <v>546.40362830000004</v>
      </c>
      <c r="G723">
        <v>183.82602890000001</v>
      </c>
      <c r="H723">
        <v>28.626988369999999</v>
      </c>
      <c r="I723" t="s">
        <v>16</v>
      </c>
      <c r="J723" s="1">
        <v>45637</v>
      </c>
    </row>
    <row r="724" spans="1:10" x14ac:dyDescent="0.3">
      <c r="A724">
        <v>148</v>
      </c>
      <c r="B724" t="s">
        <v>42</v>
      </c>
      <c r="D724">
        <v>198.2522568</v>
      </c>
      <c r="E724">
        <v>1832.8145979999999</v>
      </c>
      <c r="F724">
        <v>631.35817220000001</v>
      </c>
      <c r="G724">
        <v>139.06423359999999</v>
      </c>
      <c r="H724">
        <v>27.879480919999999</v>
      </c>
      <c r="J724" s="1">
        <v>45074</v>
      </c>
    </row>
    <row r="725" spans="1:10" x14ac:dyDescent="0.3">
      <c r="A725">
        <v>147</v>
      </c>
      <c r="D725">
        <v>48.690840270000002</v>
      </c>
      <c r="E725">
        <v>425.7993864</v>
      </c>
      <c r="F725">
        <v>210.22285360000001</v>
      </c>
      <c r="G725">
        <v>154.43323480000001</v>
      </c>
      <c r="H725">
        <v>30.43215095</v>
      </c>
      <c r="I725" t="s">
        <v>16</v>
      </c>
      <c r="J725" s="1">
        <v>45073</v>
      </c>
    </row>
    <row r="726" spans="1:10" x14ac:dyDescent="0.3">
      <c r="A726">
        <v>737</v>
      </c>
      <c r="B726" t="s">
        <v>43</v>
      </c>
      <c r="C726" t="s">
        <v>11</v>
      </c>
      <c r="D726">
        <v>46.963384759999997</v>
      </c>
      <c r="E726">
        <v>607.14113020000002</v>
      </c>
      <c r="F726">
        <v>488.72695529999999</v>
      </c>
      <c r="G726">
        <v>185.29507630000001</v>
      </c>
      <c r="H726">
        <v>29.255263530000001</v>
      </c>
      <c r="I726" t="s">
        <v>44</v>
      </c>
      <c r="J726" s="1">
        <v>45663</v>
      </c>
    </row>
    <row r="727" spans="1:10" x14ac:dyDescent="0.3">
      <c r="A727">
        <v>950</v>
      </c>
      <c r="C727" t="s">
        <v>15</v>
      </c>
      <c r="D727">
        <v>86.201151510000003</v>
      </c>
      <c r="E727">
        <v>388.17258450000003</v>
      </c>
      <c r="F727">
        <v>411.71671650000002</v>
      </c>
      <c r="G727">
        <v>151.66335409999999</v>
      </c>
      <c r="H727">
        <v>31.56498152</v>
      </c>
      <c r="J727" s="1">
        <v>45876</v>
      </c>
    </row>
    <row r="728" spans="1:10" x14ac:dyDescent="0.3">
      <c r="A728">
        <v>756</v>
      </c>
      <c r="B728" t="s">
        <v>13</v>
      </c>
      <c r="C728" t="s">
        <v>41</v>
      </c>
      <c r="D728">
        <v>62.251323480000003</v>
      </c>
      <c r="E728">
        <v>659.73727899999994</v>
      </c>
      <c r="F728">
        <v>482.92888069999998</v>
      </c>
      <c r="G728">
        <v>172.24431319999999</v>
      </c>
      <c r="H728">
        <v>28.11716689</v>
      </c>
      <c r="I728" t="s">
        <v>44</v>
      </c>
      <c r="J728" s="1">
        <v>45682</v>
      </c>
    </row>
    <row r="729" spans="1:10" x14ac:dyDescent="0.3">
      <c r="A729">
        <v>660</v>
      </c>
      <c r="B729" t="s">
        <v>10</v>
      </c>
      <c r="D729">
        <v>49.420160529999997</v>
      </c>
      <c r="E729">
        <v>652.61863170000004</v>
      </c>
      <c r="F729">
        <v>530.03154040000004</v>
      </c>
      <c r="G729">
        <v>251.8257792</v>
      </c>
      <c r="H729">
        <v>33.843240440000002</v>
      </c>
      <c r="J729" s="1">
        <v>45586</v>
      </c>
    </row>
    <row r="730" spans="1:10" x14ac:dyDescent="0.3">
      <c r="A730">
        <v>349</v>
      </c>
      <c r="B730" t="s">
        <v>14</v>
      </c>
      <c r="D730">
        <v>52.513056409999997</v>
      </c>
      <c r="E730">
        <v>556.84802249999996</v>
      </c>
      <c r="F730">
        <v>479.98570219999999</v>
      </c>
      <c r="G730">
        <v>214.68243870000001</v>
      </c>
      <c r="H730">
        <v>32.991650870000001</v>
      </c>
      <c r="I730" t="s">
        <v>40</v>
      </c>
      <c r="J730" s="1">
        <v>45275</v>
      </c>
    </row>
    <row r="731" spans="1:10" x14ac:dyDescent="0.3">
      <c r="A731">
        <v>464</v>
      </c>
      <c r="B731" t="s">
        <v>12</v>
      </c>
      <c r="C731" t="s">
        <v>15</v>
      </c>
      <c r="D731">
        <v>58.795925879999999</v>
      </c>
      <c r="E731">
        <v>669.53884579999999</v>
      </c>
      <c r="F731">
        <v>663.51558609999995</v>
      </c>
      <c r="G731">
        <v>181.27338700000001</v>
      </c>
      <c r="H731">
        <v>25.937674080000001</v>
      </c>
      <c r="I731" t="s">
        <v>40</v>
      </c>
      <c r="J731" s="1">
        <v>45390</v>
      </c>
    </row>
    <row r="732" spans="1:10" x14ac:dyDescent="0.3">
      <c r="A732">
        <v>326</v>
      </c>
      <c r="B732" t="s">
        <v>12</v>
      </c>
      <c r="C732" t="s">
        <v>11</v>
      </c>
      <c r="D732">
        <v>35.928559739999997</v>
      </c>
      <c r="E732">
        <v>244.16316169999999</v>
      </c>
      <c r="F732">
        <v>289.34178300000002</v>
      </c>
      <c r="G732">
        <v>276.4652097</v>
      </c>
      <c r="H732">
        <v>25.656118249999999</v>
      </c>
      <c r="I732" t="s">
        <v>44</v>
      </c>
      <c r="J732" s="1">
        <v>45252</v>
      </c>
    </row>
    <row r="733" spans="1:10" x14ac:dyDescent="0.3">
      <c r="A733">
        <v>187</v>
      </c>
      <c r="B733" t="s">
        <v>43</v>
      </c>
      <c r="D733">
        <v>55.644029879999998</v>
      </c>
      <c r="E733" t="s">
        <v>46</v>
      </c>
      <c r="F733">
        <v>241.74467749999999</v>
      </c>
      <c r="G733">
        <v>203.32962860000001</v>
      </c>
      <c r="H733">
        <v>26.325981460000001</v>
      </c>
      <c r="I733" t="s">
        <v>44</v>
      </c>
      <c r="J733" s="1">
        <v>45113</v>
      </c>
    </row>
    <row r="734" spans="1:10" x14ac:dyDescent="0.3">
      <c r="A734">
        <v>124</v>
      </c>
      <c r="B734" t="s">
        <v>14</v>
      </c>
      <c r="C734" t="s">
        <v>11</v>
      </c>
      <c r="D734">
        <v>42.919211339999997</v>
      </c>
      <c r="E734">
        <v>605.84845440000004</v>
      </c>
      <c r="F734">
        <v>454.39293379999998</v>
      </c>
      <c r="G734">
        <v>187.70606219999999</v>
      </c>
      <c r="H734">
        <v>28.052286030000001</v>
      </c>
      <c r="J734" s="1">
        <v>45050</v>
      </c>
    </row>
    <row r="735" spans="1:10" x14ac:dyDescent="0.3">
      <c r="A735">
        <v>871</v>
      </c>
      <c r="B735" t="s">
        <v>14</v>
      </c>
      <c r="C735" t="s">
        <v>17</v>
      </c>
      <c r="D735">
        <v>49.814419940000001</v>
      </c>
      <c r="E735">
        <v>464.88037980000001</v>
      </c>
      <c r="F735">
        <v>513.47901539999998</v>
      </c>
      <c r="G735">
        <v>114.6081037</v>
      </c>
      <c r="H735">
        <v>25.270683460000001</v>
      </c>
      <c r="I735" t="s">
        <v>16</v>
      </c>
      <c r="J735" s="1">
        <v>45797</v>
      </c>
    </row>
    <row r="736" spans="1:10" x14ac:dyDescent="0.3">
      <c r="A736">
        <v>609</v>
      </c>
      <c r="B736" t="s">
        <v>12</v>
      </c>
      <c r="C736" t="s">
        <v>15</v>
      </c>
      <c r="D736">
        <v>59.001769869999997</v>
      </c>
      <c r="E736">
        <v>495.42997689999999</v>
      </c>
      <c r="F736">
        <v>592.34508110000002</v>
      </c>
      <c r="G736">
        <v>211.11178179999999</v>
      </c>
      <c r="H736">
        <v>37.256273280000002</v>
      </c>
      <c r="I736" t="s">
        <v>16</v>
      </c>
      <c r="J736" s="1">
        <v>45535</v>
      </c>
    </row>
    <row r="737" spans="1:10" x14ac:dyDescent="0.3">
      <c r="A737">
        <v>144</v>
      </c>
      <c r="B737" t="s">
        <v>12</v>
      </c>
      <c r="D737">
        <v>44.490518860000002</v>
      </c>
      <c r="E737">
        <v>536.51254119999999</v>
      </c>
      <c r="F737">
        <v>341.77579379999997</v>
      </c>
      <c r="G737">
        <v>220.86975649999999</v>
      </c>
      <c r="H737">
        <v>40.2724422</v>
      </c>
      <c r="I737" t="s">
        <v>18</v>
      </c>
      <c r="J737" s="1">
        <v>45070</v>
      </c>
    </row>
    <row r="738" spans="1:10" x14ac:dyDescent="0.3">
      <c r="A738">
        <v>979</v>
      </c>
      <c r="B738" t="s">
        <v>13</v>
      </c>
      <c r="C738" t="s">
        <v>15</v>
      </c>
      <c r="D738">
        <v>48.28137014</v>
      </c>
      <c r="E738">
        <v>390.45990970000003</v>
      </c>
      <c r="F738">
        <v>256.74624</v>
      </c>
      <c r="H738">
        <v>31.268533600000001</v>
      </c>
      <c r="I738" t="s">
        <v>18</v>
      </c>
      <c r="J738" s="1">
        <v>45905</v>
      </c>
    </row>
    <row r="739" spans="1:10" x14ac:dyDescent="0.3">
      <c r="A739">
        <v>198</v>
      </c>
      <c r="B739" t="s">
        <v>12</v>
      </c>
      <c r="C739" t="s">
        <v>11</v>
      </c>
      <c r="D739">
        <v>39.71325667</v>
      </c>
      <c r="E739">
        <v>505.1626377</v>
      </c>
      <c r="F739">
        <v>337.6716922</v>
      </c>
      <c r="G739">
        <v>198.27391</v>
      </c>
      <c r="H739">
        <v>30.689582600000001</v>
      </c>
      <c r="I739" t="s">
        <v>16</v>
      </c>
      <c r="J739" s="1">
        <v>45124</v>
      </c>
    </row>
    <row r="740" spans="1:10" x14ac:dyDescent="0.3">
      <c r="A740">
        <v>610</v>
      </c>
      <c r="B740" t="s">
        <v>14</v>
      </c>
      <c r="C740" t="s">
        <v>17</v>
      </c>
      <c r="D740">
        <v>57.781091859999997</v>
      </c>
      <c r="E740">
        <v>423.50080509999998</v>
      </c>
      <c r="F740">
        <v>502.1772363</v>
      </c>
      <c r="G740">
        <v>203.88799599999999</v>
      </c>
      <c r="I740" t="s">
        <v>16</v>
      </c>
      <c r="J740" s="1">
        <v>45536</v>
      </c>
    </row>
    <row r="741" spans="1:10" x14ac:dyDescent="0.3">
      <c r="A741">
        <v>280</v>
      </c>
      <c r="B741" t="s">
        <v>14</v>
      </c>
      <c r="C741" t="s">
        <v>17</v>
      </c>
      <c r="D741">
        <v>66.233965620000006</v>
      </c>
      <c r="E741">
        <v>558.77316519999999</v>
      </c>
      <c r="F741">
        <v>375.56925319999999</v>
      </c>
      <c r="G741">
        <v>104.4894036</v>
      </c>
      <c r="H741">
        <v>17.266339439999999</v>
      </c>
      <c r="I741" t="s">
        <v>18</v>
      </c>
      <c r="J741" s="1">
        <v>45206</v>
      </c>
    </row>
    <row r="742" spans="1:10" x14ac:dyDescent="0.3">
      <c r="A742">
        <v>294</v>
      </c>
      <c r="B742" t="s">
        <v>42</v>
      </c>
      <c r="C742" t="s">
        <v>41</v>
      </c>
      <c r="D742">
        <v>223.29258250000001</v>
      </c>
      <c r="E742">
        <v>2793.3544940000002</v>
      </c>
      <c r="F742">
        <v>604.39761950000002</v>
      </c>
      <c r="G742">
        <v>223.5719933</v>
      </c>
      <c r="H742">
        <v>28.65323948</v>
      </c>
      <c r="I742" t="s">
        <v>16</v>
      </c>
      <c r="J742" s="1">
        <v>45220</v>
      </c>
    </row>
    <row r="743" spans="1:10" x14ac:dyDescent="0.3">
      <c r="A743">
        <v>401</v>
      </c>
      <c r="B743" t="s">
        <v>43</v>
      </c>
      <c r="C743" t="s">
        <v>19</v>
      </c>
      <c r="E743">
        <v>611.1578657</v>
      </c>
      <c r="F743">
        <v>232.20511350000001</v>
      </c>
      <c r="G743">
        <v>285.9203536</v>
      </c>
      <c r="H743">
        <v>34.99857402</v>
      </c>
      <c r="I743" t="s">
        <v>16</v>
      </c>
      <c r="J743" s="1">
        <v>45327</v>
      </c>
    </row>
    <row r="744" spans="1:10" x14ac:dyDescent="0.3">
      <c r="A744">
        <v>123</v>
      </c>
      <c r="C744" t="s">
        <v>15</v>
      </c>
      <c r="D744">
        <v>416.36810179999998</v>
      </c>
      <c r="E744">
        <v>1577.8451930000001</v>
      </c>
      <c r="F744">
        <v>567.86814089999996</v>
      </c>
      <c r="G744">
        <v>195.35086039999999</v>
      </c>
      <c r="H744">
        <v>34.699904089999997</v>
      </c>
      <c r="I744" t="s">
        <v>44</v>
      </c>
      <c r="J744" s="1">
        <v>45049</v>
      </c>
    </row>
    <row r="745" spans="1:10" x14ac:dyDescent="0.3">
      <c r="A745">
        <v>184</v>
      </c>
      <c r="B745" t="s">
        <v>43</v>
      </c>
      <c r="C745" t="s">
        <v>17</v>
      </c>
      <c r="D745">
        <v>47.476199569999999</v>
      </c>
      <c r="E745">
        <v>364.85542349999997</v>
      </c>
      <c r="F745">
        <v>558.60487369999998</v>
      </c>
      <c r="G745">
        <v>204.9249174</v>
      </c>
      <c r="H745">
        <v>20.507384850000001</v>
      </c>
      <c r="I745" t="s">
        <v>18</v>
      </c>
      <c r="J745" s="1">
        <v>45110</v>
      </c>
    </row>
    <row r="746" spans="1:10" x14ac:dyDescent="0.3">
      <c r="A746">
        <v>203</v>
      </c>
      <c r="B746" t="s">
        <v>43</v>
      </c>
      <c r="C746" t="s">
        <v>11</v>
      </c>
      <c r="D746">
        <v>34.472729319999999</v>
      </c>
      <c r="E746">
        <v>533.88146010000003</v>
      </c>
      <c r="F746">
        <v>383.23647629999999</v>
      </c>
      <c r="G746">
        <v>211.15456130000001</v>
      </c>
      <c r="H746">
        <v>32.913404069999999</v>
      </c>
      <c r="I746" t="s">
        <v>44</v>
      </c>
      <c r="J746" s="1">
        <v>45129</v>
      </c>
    </row>
    <row r="747" spans="1:10" x14ac:dyDescent="0.3">
      <c r="A747">
        <v>439</v>
      </c>
      <c r="B747" t="s">
        <v>42</v>
      </c>
      <c r="C747" t="s">
        <v>11</v>
      </c>
      <c r="D747">
        <v>64.105680050000004</v>
      </c>
      <c r="E747">
        <v>417.14845639999999</v>
      </c>
      <c r="F747">
        <v>389.24118900000002</v>
      </c>
      <c r="G747">
        <v>217.61452220000001</v>
      </c>
      <c r="H747">
        <v>32.231009180000001</v>
      </c>
      <c r="I747" t="s">
        <v>16</v>
      </c>
      <c r="J747" s="1">
        <v>45365</v>
      </c>
    </row>
    <row r="748" spans="1:10" x14ac:dyDescent="0.3">
      <c r="A748">
        <v>247</v>
      </c>
      <c r="B748" t="s">
        <v>12</v>
      </c>
      <c r="C748" t="s">
        <v>11</v>
      </c>
      <c r="D748">
        <v>51.60476207</v>
      </c>
      <c r="E748">
        <v>502.66810570000001</v>
      </c>
      <c r="F748">
        <v>550.35995709999997</v>
      </c>
      <c r="G748">
        <v>160.31067379999999</v>
      </c>
      <c r="H748">
        <v>31.272132289999998</v>
      </c>
      <c r="I748" t="s">
        <v>44</v>
      </c>
      <c r="J748" s="1">
        <v>45173</v>
      </c>
    </row>
    <row r="749" spans="1:10" x14ac:dyDescent="0.3">
      <c r="A749">
        <v>416</v>
      </c>
      <c r="B749" t="s">
        <v>13</v>
      </c>
      <c r="D749">
        <v>42.035598190000002</v>
      </c>
      <c r="E749">
        <v>434.25678420000003</v>
      </c>
      <c r="F749">
        <v>658.84553640000001</v>
      </c>
      <c r="G749">
        <v>195.96471740000001</v>
      </c>
      <c r="H749">
        <v>21.976225060000001</v>
      </c>
      <c r="I749" t="s">
        <v>44</v>
      </c>
      <c r="J749" s="1">
        <v>45342</v>
      </c>
    </row>
    <row r="750" spans="1:10" x14ac:dyDescent="0.3">
      <c r="A750">
        <v>793</v>
      </c>
      <c r="B750" t="s">
        <v>10</v>
      </c>
      <c r="C750" t="s">
        <v>19</v>
      </c>
      <c r="D750">
        <v>51.959750339999999</v>
      </c>
      <c r="E750">
        <v>593.15712689999998</v>
      </c>
      <c r="F750">
        <v>411.128399</v>
      </c>
      <c r="G750">
        <v>191.7438539</v>
      </c>
      <c r="H750">
        <v>30.50875525</v>
      </c>
      <c r="I750" t="s">
        <v>40</v>
      </c>
      <c r="J750" s="1">
        <v>45719</v>
      </c>
    </row>
    <row r="751" spans="1:10" x14ac:dyDescent="0.3">
      <c r="A751">
        <v>782</v>
      </c>
      <c r="D751">
        <v>27.230087919999999</v>
      </c>
      <c r="E751">
        <v>806.19469649999996</v>
      </c>
      <c r="F751">
        <v>445.39293600000002</v>
      </c>
      <c r="G751">
        <v>227.82108529999999</v>
      </c>
      <c r="H751">
        <v>33.21012751</v>
      </c>
      <c r="I751" t="s">
        <v>40</v>
      </c>
      <c r="J751" s="1">
        <v>45708</v>
      </c>
    </row>
    <row r="752" spans="1:10" x14ac:dyDescent="0.3">
      <c r="A752">
        <v>924</v>
      </c>
      <c r="B752" t="s">
        <v>43</v>
      </c>
      <c r="C752" t="s">
        <v>41</v>
      </c>
      <c r="D752">
        <v>43.068131729999998</v>
      </c>
      <c r="E752">
        <v>463.4664047</v>
      </c>
      <c r="F752">
        <v>279.61588</v>
      </c>
      <c r="G752">
        <v>188.09235319999999</v>
      </c>
      <c r="H752">
        <v>36.138999939999998</v>
      </c>
      <c r="J752" s="1">
        <v>45850</v>
      </c>
    </row>
    <row r="753" spans="1:10" x14ac:dyDescent="0.3">
      <c r="A753">
        <v>785</v>
      </c>
      <c r="B753" t="s">
        <v>12</v>
      </c>
      <c r="C753" t="s">
        <v>41</v>
      </c>
      <c r="D753">
        <v>52.529368140000003</v>
      </c>
      <c r="E753">
        <v>334.52717239999998</v>
      </c>
      <c r="F753">
        <v>484.0680941</v>
      </c>
      <c r="G753">
        <v>238.41669959999999</v>
      </c>
      <c r="H753">
        <v>21.88130709</v>
      </c>
      <c r="I753" t="s">
        <v>40</v>
      </c>
      <c r="J753" s="1">
        <v>45711</v>
      </c>
    </row>
    <row r="754" spans="1:10" x14ac:dyDescent="0.3">
      <c r="A754">
        <v>905</v>
      </c>
      <c r="B754" t="s">
        <v>14</v>
      </c>
      <c r="C754" t="s">
        <v>41</v>
      </c>
      <c r="D754">
        <v>33.02902615</v>
      </c>
      <c r="E754">
        <v>635.40191419999996</v>
      </c>
      <c r="F754">
        <v>536.75005009999995</v>
      </c>
      <c r="G754">
        <v>186.1988676</v>
      </c>
      <c r="H754">
        <v>25.465961369999999</v>
      </c>
      <c r="J754" s="1">
        <v>45831</v>
      </c>
    </row>
    <row r="755" spans="1:10" x14ac:dyDescent="0.3">
      <c r="A755">
        <v>130</v>
      </c>
      <c r="B755" t="s">
        <v>14</v>
      </c>
      <c r="C755" t="s">
        <v>11</v>
      </c>
      <c r="D755">
        <v>62.336869210000003</v>
      </c>
      <c r="E755">
        <v>487.5024214</v>
      </c>
      <c r="F755">
        <v>268.24849089999998</v>
      </c>
      <c r="G755">
        <v>273.56967739999999</v>
      </c>
      <c r="H755">
        <v>31.133558430000001</v>
      </c>
      <c r="I755" t="s">
        <v>16</v>
      </c>
      <c r="J755" s="1">
        <v>45056</v>
      </c>
    </row>
    <row r="756" spans="1:10" x14ac:dyDescent="0.3">
      <c r="A756">
        <v>638</v>
      </c>
      <c r="B756" t="s">
        <v>13</v>
      </c>
      <c r="D756">
        <v>40.808198609999998</v>
      </c>
      <c r="E756">
        <v>634.61782640000001</v>
      </c>
      <c r="F756">
        <v>503.87396360000002</v>
      </c>
      <c r="G756">
        <v>131.0598348</v>
      </c>
      <c r="H756">
        <v>40.180780929999997</v>
      </c>
      <c r="I756" t="s">
        <v>18</v>
      </c>
      <c r="J756" s="1">
        <v>45564</v>
      </c>
    </row>
    <row r="757" spans="1:10" x14ac:dyDescent="0.3">
      <c r="A757">
        <v>403</v>
      </c>
      <c r="B757" t="s">
        <v>43</v>
      </c>
      <c r="C757" t="s">
        <v>15</v>
      </c>
      <c r="D757">
        <v>48.714925190000002</v>
      </c>
      <c r="E757">
        <v>506.9746849</v>
      </c>
      <c r="F757">
        <v>368.66590689999998</v>
      </c>
      <c r="G757">
        <v>204.8338061</v>
      </c>
      <c r="I757" t="s">
        <v>44</v>
      </c>
      <c r="J757" s="1">
        <v>45329</v>
      </c>
    </row>
    <row r="758" spans="1:10" x14ac:dyDescent="0.3">
      <c r="A758">
        <v>801</v>
      </c>
      <c r="D758">
        <v>40.892961769999999</v>
      </c>
      <c r="E758">
        <v>410.44439060000002</v>
      </c>
      <c r="F758">
        <v>478.78011350000003</v>
      </c>
      <c r="G758">
        <v>259.21267080000001</v>
      </c>
      <c r="H758">
        <v>36.466497480000001</v>
      </c>
      <c r="I758" t="s">
        <v>16</v>
      </c>
      <c r="J758" s="1">
        <v>45727</v>
      </c>
    </row>
    <row r="759" spans="1:10" x14ac:dyDescent="0.3">
      <c r="A759">
        <v>787</v>
      </c>
      <c r="C759" t="s">
        <v>11</v>
      </c>
      <c r="D759">
        <v>48.124658799999999</v>
      </c>
      <c r="E759">
        <v>515.11104369999998</v>
      </c>
      <c r="F759">
        <v>331.9802899</v>
      </c>
      <c r="G759">
        <v>45.016473859999998</v>
      </c>
      <c r="H759">
        <v>32.837443610000001</v>
      </c>
      <c r="I759" t="s">
        <v>16</v>
      </c>
      <c r="J759" s="1">
        <v>45713</v>
      </c>
    </row>
    <row r="760" spans="1:10" x14ac:dyDescent="0.3">
      <c r="A760">
        <v>736</v>
      </c>
      <c r="C760" t="s">
        <v>19</v>
      </c>
      <c r="E760">
        <v>562.97498780000001</v>
      </c>
      <c r="F760">
        <v>368.62288339999998</v>
      </c>
      <c r="G760">
        <v>137.63536769999999</v>
      </c>
      <c r="H760">
        <v>30.613660809999999</v>
      </c>
      <c r="I760" t="s">
        <v>18</v>
      </c>
      <c r="J760" s="1">
        <v>45662</v>
      </c>
    </row>
    <row r="761" spans="1:10" x14ac:dyDescent="0.3">
      <c r="A761">
        <v>931</v>
      </c>
      <c r="B761" t="s">
        <v>43</v>
      </c>
      <c r="C761" t="s">
        <v>17</v>
      </c>
      <c r="D761">
        <v>47.467450900000003</v>
      </c>
      <c r="E761">
        <v>434.91672740000001</v>
      </c>
      <c r="F761">
        <v>410.89419450000003</v>
      </c>
      <c r="G761">
        <v>260.3059217</v>
      </c>
      <c r="H761">
        <v>21.741952019999999</v>
      </c>
      <c r="I761" t="s">
        <v>44</v>
      </c>
      <c r="J761" s="1">
        <v>45857</v>
      </c>
    </row>
    <row r="762" spans="1:10" x14ac:dyDescent="0.3">
      <c r="A762">
        <v>220</v>
      </c>
      <c r="B762" t="s">
        <v>14</v>
      </c>
      <c r="C762" t="s">
        <v>17</v>
      </c>
      <c r="D762">
        <v>31.759301260000001</v>
      </c>
      <c r="E762">
        <v>484.4178526</v>
      </c>
      <c r="F762">
        <v>596.75958539999999</v>
      </c>
      <c r="G762">
        <v>196.94057810000001</v>
      </c>
      <c r="H762">
        <v>21.226056289999999</v>
      </c>
      <c r="I762" t="s">
        <v>44</v>
      </c>
      <c r="J762" s="1">
        <v>45146</v>
      </c>
    </row>
    <row r="763" spans="1:10" x14ac:dyDescent="0.3">
      <c r="A763">
        <v>642</v>
      </c>
      <c r="B763" t="s">
        <v>14</v>
      </c>
      <c r="C763" t="s">
        <v>15</v>
      </c>
      <c r="D763">
        <v>74.147909990000002</v>
      </c>
      <c r="E763">
        <v>352.90912429999997</v>
      </c>
      <c r="F763">
        <v>534.10696499999995</v>
      </c>
      <c r="G763">
        <v>200.5008962</v>
      </c>
      <c r="H763">
        <v>37.528955609999997</v>
      </c>
      <c r="I763" t="s">
        <v>40</v>
      </c>
      <c r="J763" s="1">
        <v>45568</v>
      </c>
    </row>
    <row r="764" spans="1:10" x14ac:dyDescent="0.3">
      <c r="A764">
        <v>933</v>
      </c>
      <c r="B764" t="s">
        <v>12</v>
      </c>
      <c r="C764" t="s">
        <v>19</v>
      </c>
      <c r="D764">
        <v>40.355957449999998</v>
      </c>
      <c r="E764" t="s">
        <v>46</v>
      </c>
      <c r="F764">
        <v>563.79849790000003</v>
      </c>
      <c r="G764">
        <v>208.57547740000001</v>
      </c>
      <c r="H764">
        <v>34.90766438</v>
      </c>
      <c r="J764" s="1">
        <v>45859</v>
      </c>
    </row>
    <row r="765" spans="1:10" x14ac:dyDescent="0.3">
      <c r="A765">
        <v>853</v>
      </c>
      <c r="B765" t="s">
        <v>43</v>
      </c>
      <c r="C765" t="s">
        <v>17</v>
      </c>
      <c r="D765" t="s">
        <v>45</v>
      </c>
      <c r="E765">
        <v>622.38531990000001</v>
      </c>
      <c r="F765">
        <v>499.60865690000003</v>
      </c>
      <c r="G765">
        <v>233.1125093</v>
      </c>
      <c r="H765">
        <v>29.975974069999999</v>
      </c>
      <c r="J765" s="1">
        <v>45779</v>
      </c>
    </row>
    <row r="766" spans="1:10" x14ac:dyDescent="0.3">
      <c r="A766">
        <v>824</v>
      </c>
      <c r="B766" t="s">
        <v>43</v>
      </c>
      <c r="C766" t="s">
        <v>11</v>
      </c>
      <c r="D766">
        <v>76.875343659999999</v>
      </c>
      <c r="E766">
        <v>441.98563480000001</v>
      </c>
      <c r="F766">
        <v>352.97955350000001</v>
      </c>
      <c r="G766">
        <v>159.10364530000001</v>
      </c>
      <c r="H766">
        <v>29.070572819999999</v>
      </c>
      <c r="I766" t="s">
        <v>18</v>
      </c>
      <c r="J766" s="1">
        <v>45750</v>
      </c>
    </row>
    <row r="767" spans="1:10" x14ac:dyDescent="0.3">
      <c r="A767">
        <v>938</v>
      </c>
      <c r="B767" t="s">
        <v>14</v>
      </c>
      <c r="D767">
        <v>62.133164090000001</v>
      </c>
      <c r="E767">
        <v>469.85026360000001</v>
      </c>
      <c r="F767">
        <v>608.02441060000001</v>
      </c>
      <c r="G767">
        <v>224.99833459999999</v>
      </c>
      <c r="H767">
        <v>21.55443773</v>
      </c>
      <c r="J767" s="1">
        <v>45864</v>
      </c>
    </row>
    <row r="768" spans="1:10" x14ac:dyDescent="0.3">
      <c r="A768">
        <v>625</v>
      </c>
      <c r="B768" t="s">
        <v>13</v>
      </c>
      <c r="C768" t="s">
        <v>19</v>
      </c>
      <c r="D768">
        <v>124.4004589</v>
      </c>
      <c r="E768">
        <v>490.98752589999998</v>
      </c>
      <c r="F768">
        <v>392.98839349999997</v>
      </c>
      <c r="G768">
        <v>140.65593849999999</v>
      </c>
      <c r="H768">
        <v>27.85662602</v>
      </c>
      <c r="I768" t="s">
        <v>16</v>
      </c>
      <c r="J768" s="1">
        <v>45551</v>
      </c>
    </row>
    <row r="769" spans="1:10" x14ac:dyDescent="0.3">
      <c r="B769" t="s">
        <v>10</v>
      </c>
      <c r="C769" t="s">
        <v>19</v>
      </c>
      <c r="D769">
        <v>43.305898050000003</v>
      </c>
      <c r="E769">
        <v>450.06157009999998</v>
      </c>
      <c r="F769">
        <v>390.93023840000001</v>
      </c>
      <c r="G769">
        <v>183.1830823</v>
      </c>
      <c r="H769">
        <v>30.84256701</v>
      </c>
      <c r="I769" t="s">
        <v>16</v>
      </c>
      <c r="J769" s="1">
        <v>45782</v>
      </c>
    </row>
    <row r="770" spans="1:10" x14ac:dyDescent="0.3">
      <c r="A770">
        <v>951</v>
      </c>
      <c r="C770" t="s">
        <v>17</v>
      </c>
      <c r="D770">
        <v>48.978715600000001</v>
      </c>
      <c r="E770">
        <v>574.28594799999996</v>
      </c>
      <c r="F770">
        <v>413.47944389999998</v>
      </c>
      <c r="G770">
        <v>260.44660699999997</v>
      </c>
      <c r="H770">
        <v>40.45788185</v>
      </c>
      <c r="I770" t="s">
        <v>18</v>
      </c>
      <c r="J770" s="1">
        <v>45877</v>
      </c>
    </row>
    <row r="771" spans="1:10" x14ac:dyDescent="0.3">
      <c r="A771">
        <v>387</v>
      </c>
      <c r="B771" t="s">
        <v>42</v>
      </c>
      <c r="C771" t="s">
        <v>11</v>
      </c>
      <c r="D771">
        <v>43.113332450000001</v>
      </c>
      <c r="E771">
        <v>681.92231830000003</v>
      </c>
      <c r="F771">
        <v>626.84524090000002</v>
      </c>
      <c r="G771">
        <v>142.31336049999999</v>
      </c>
      <c r="H771">
        <v>24.972399930000002</v>
      </c>
      <c r="I771" t="s">
        <v>18</v>
      </c>
      <c r="J771" s="1">
        <v>45313</v>
      </c>
    </row>
    <row r="772" spans="1:10" x14ac:dyDescent="0.3">
      <c r="A772">
        <v>993</v>
      </c>
      <c r="B772" t="s">
        <v>12</v>
      </c>
      <c r="C772" t="s">
        <v>19</v>
      </c>
      <c r="D772">
        <v>52.658862980000002</v>
      </c>
      <c r="E772">
        <v>563.54460280000001</v>
      </c>
      <c r="F772">
        <v>440.52670979999999</v>
      </c>
      <c r="G772">
        <v>181.63411769999999</v>
      </c>
      <c r="H772">
        <v>40.439968409999999</v>
      </c>
      <c r="I772" t="s">
        <v>16</v>
      </c>
      <c r="J772" s="1">
        <v>45919</v>
      </c>
    </row>
    <row r="773" spans="1:10" x14ac:dyDescent="0.3">
      <c r="A773">
        <v>510</v>
      </c>
      <c r="B773" t="s">
        <v>10</v>
      </c>
      <c r="C773" t="s">
        <v>11</v>
      </c>
      <c r="D773">
        <v>55.779105139999999</v>
      </c>
      <c r="E773">
        <v>473.03583750000001</v>
      </c>
      <c r="F773">
        <v>501.23835739999998</v>
      </c>
      <c r="G773">
        <v>262.16171650000001</v>
      </c>
      <c r="H773">
        <v>27.58863895</v>
      </c>
      <c r="I773" t="s">
        <v>18</v>
      </c>
      <c r="J773" s="1">
        <v>45436</v>
      </c>
    </row>
    <row r="774" spans="1:10" x14ac:dyDescent="0.3">
      <c r="A774">
        <v>268</v>
      </c>
      <c r="B774" t="s">
        <v>13</v>
      </c>
      <c r="C774" t="s">
        <v>15</v>
      </c>
      <c r="D774">
        <v>221.97759239999999</v>
      </c>
      <c r="E774">
        <v>1650.828129</v>
      </c>
      <c r="F774">
        <v>226.2160446</v>
      </c>
      <c r="G774">
        <v>183.23000400000001</v>
      </c>
      <c r="H774">
        <v>30.305782300000001</v>
      </c>
      <c r="I774" t="s">
        <v>44</v>
      </c>
      <c r="J774" s="1">
        <v>45194</v>
      </c>
    </row>
    <row r="775" spans="1:10" x14ac:dyDescent="0.3">
      <c r="A775">
        <v>837</v>
      </c>
      <c r="B775" t="s">
        <v>42</v>
      </c>
      <c r="C775" t="s">
        <v>19</v>
      </c>
      <c r="D775">
        <v>40.345020140000003</v>
      </c>
      <c r="E775">
        <v>383.432841</v>
      </c>
      <c r="F775">
        <v>668.38397239999995</v>
      </c>
      <c r="G775">
        <v>155.77484630000001</v>
      </c>
      <c r="H775">
        <v>19.07753632</v>
      </c>
      <c r="I775" t="s">
        <v>16</v>
      </c>
      <c r="J775" s="1">
        <v>45763</v>
      </c>
    </row>
    <row r="776" spans="1:10" x14ac:dyDescent="0.3">
      <c r="A776">
        <v>442</v>
      </c>
      <c r="B776" t="s">
        <v>42</v>
      </c>
      <c r="C776" t="s">
        <v>19</v>
      </c>
      <c r="D776">
        <v>57.994992539999998</v>
      </c>
      <c r="E776">
        <v>487.19582939999998</v>
      </c>
      <c r="F776">
        <v>518.05763820000004</v>
      </c>
      <c r="G776">
        <v>196.41765570000001</v>
      </c>
      <c r="H776">
        <v>32.69408464</v>
      </c>
      <c r="I776" t="s">
        <v>40</v>
      </c>
      <c r="J776" s="1">
        <v>45368</v>
      </c>
    </row>
    <row r="777" spans="1:10" x14ac:dyDescent="0.3">
      <c r="A777">
        <v>497</v>
      </c>
      <c r="B777" t="s">
        <v>14</v>
      </c>
      <c r="C777" t="s">
        <v>41</v>
      </c>
      <c r="D777">
        <v>58.375627029999997</v>
      </c>
      <c r="E777">
        <v>359.95804399999997</v>
      </c>
      <c r="F777">
        <v>415.41165769999998</v>
      </c>
      <c r="G777">
        <v>237.3536422</v>
      </c>
      <c r="H777">
        <v>16.978265319999998</v>
      </c>
      <c r="I777" t="s">
        <v>18</v>
      </c>
      <c r="J777" s="1">
        <v>45423</v>
      </c>
    </row>
    <row r="778" spans="1:10" x14ac:dyDescent="0.3">
      <c r="A778">
        <v>113</v>
      </c>
      <c r="B778" t="s">
        <v>10</v>
      </c>
      <c r="C778" t="s">
        <v>11</v>
      </c>
      <c r="D778">
        <v>48.432696020000002</v>
      </c>
      <c r="E778">
        <v>477.37391289999999</v>
      </c>
      <c r="F778">
        <v>718.78260880000005</v>
      </c>
      <c r="G778">
        <v>180.19269550000001</v>
      </c>
      <c r="H778">
        <v>26.678978279999999</v>
      </c>
      <c r="I778" t="s">
        <v>18</v>
      </c>
      <c r="J778" s="1">
        <v>45039</v>
      </c>
    </row>
    <row r="779" spans="1:10" x14ac:dyDescent="0.3">
      <c r="A779">
        <v>692</v>
      </c>
      <c r="B779" t="s">
        <v>14</v>
      </c>
      <c r="C779" t="s">
        <v>15</v>
      </c>
      <c r="D779">
        <v>44.318576700000001</v>
      </c>
      <c r="E779">
        <v>390.1449159</v>
      </c>
      <c r="F779">
        <v>497.01190309999998</v>
      </c>
      <c r="G779">
        <v>180.46340430000001</v>
      </c>
      <c r="H779">
        <v>22.690031099999999</v>
      </c>
      <c r="I779" t="s">
        <v>18</v>
      </c>
      <c r="J779" s="1">
        <v>45618</v>
      </c>
    </row>
    <row r="780" spans="1:10" x14ac:dyDescent="0.3">
      <c r="A780">
        <v>233</v>
      </c>
      <c r="B780" t="s">
        <v>42</v>
      </c>
      <c r="C780" t="s">
        <v>41</v>
      </c>
      <c r="D780">
        <v>59.709007319999998</v>
      </c>
      <c r="E780">
        <v>479.92508359999999</v>
      </c>
      <c r="F780">
        <v>446.36770749999999</v>
      </c>
      <c r="G780">
        <v>244.6622314</v>
      </c>
      <c r="H780">
        <v>24.255742949999998</v>
      </c>
      <c r="J780" s="1">
        <v>45159</v>
      </c>
    </row>
    <row r="781" spans="1:10" x14ac:dyDescent="0.3">
      <c r="A781">
        <v>887</v>
      </c>
      <c r="B781" t="s">
        <v>12</v>
      </c>
      <c r="C781" t="s">
        <v>15</v>
      </c>
      <c r="D781">
        <v>41.677061170000002</v>
      </c>
      <c r="E781">
        <v>506.74936810000003</v>
      </c>
      <c r="F781">
        <v>361.77667170000001</v>
      </c>
      <c r="G781">
        <v>209.34298509999999</v>
      </c>
      <c r="H781">
        <v>31.56820184</v>
      </c>
      <c r="I781" t="s">
        <v>40</v>
      </c>
      <c r="J781" s="1">
        <v>45813</v>
      </c>
    </row>
    <row r="782" spans="1:10" x14ac:dyDescent="0.3">
      <c r="A782">
        <v>608</v>
      </c>
      <c r="C782" t="s">
        <v>15</v>
      </c>
      <c r="D782">
        <v>48.390950920000002</v>
      </c>
      <c r="E782">
        <v>525.95735609999997</v>
      </c>
      <c r="F782">
        <v>485.97633489999998</v>
      </c>
      <c r="H782">
        <v>24.092384190000001</v>
      </c>
      <c r="J782" s="1">
        <v>45534</v>
      </c>
    </row>
    <row r="783" spans="1:10" x14ac:dyDescent="0.3">
      <c r="A783">
        <v>672</v>
      </c>
      <c r="B783" t="s">
        <v>10</v>
      </c>
      <c r="C783" t="s">
        <v>11</v>
      </c>
      <c r="D783">
        <v>56.024772089999999</v>
      </c>
      <c r="E783">
        <v>610.99295959999995</v>
      </c>
      <c r="F783">
        <v>309.83280939999997</v>
      </c>
      <c r="G783">
        <v>171.36591799999999</v>
      </c>
      <c r="H783">
        <v>29.837248880000001</v>
      </c>
      <c r="I783" t="s">
        <v>18</v>
      </c>
      <c r="J783" s="1">
        <v>45598</v>
      </c>
    </row>
    <row r="784" spans="1:10" x14ac:dyDescent="0.3">
      <c r="A784">
        <v>374</v>
      </c>
      <c r="B784" t="s">
        <v>10</v>
      </c>
      <c r="C784" t="s">
        <v>19</v>
      </c>
      <c r="D784">
        <v>40.07686734</v>
      </c>
      <c r="E784">
        <v>508.7968821</v>
      </c>
      <c r="F784">
        <v>634.38037429999997</v>
      </c>
      <c r="G784">
        <v>277.8440918</v>
      </c>
      <c r="H784">
        <v>27.74364735</v>
      </c>
      <c r="I784" t="s">
        <v>40</v>
      </c>
      <c r="J784" s="1">
        <v>45300</v>
      </c>
    </row>
    <row r="785" spans="1:10" x14ac:dyDescent="0.3">
      <c r="A785">
        <v>819</v>
      </c>
      <c r="B785" t="s">
        <v>43</v>
      </c>
      <c r="C785" t="s">
        <v>19</v>
      </c>
      <c r="D785">
        <v>53.475303760000003</v>
      </c>
      <c r="E785">
        <v>438.73053540000001</v>
      </c>
      <c r="F785">
        <v>478.08985860000001</v>
      </c>
      <c r="G785">
        <v>202.51859479999999</v>
      </c>
      <c r="H785">
        <v>34.832721249999999</v>
      </c>
      <c r="I785" t="s">
        <v>18</v>
      </c>
      <c r="J785" s="1">
        <v>45745</v>
      </c>
    </row>
    <row r="786" spans="1:10" x14ac:dyDescent="0.3">
      <c r="A786">
        <v>860</v>
      </c>
      <c r="B786" t="s">
        <v>12</v>
      </c>
      <c r="C786" t="s">
        <v>41</v>
      </c>
      <c r="D786">
        <v>88.16463272</v>
      </c>
      <c r="E786">
        <v>353.10765359999999</v>
      </c>
      <c r="F786">
        <v>529.45309929999996</v>
      </c>
      <c r="G786">
        <v>215.0028413</v>
      </c>
      <c r="H786">
        <v>19.13115548</v>
      </c>
      <c r="I786" t="s">
        <v>16</v>
      </c>
      <c r="J786" s="1">
        <v>45786</v>
      </c>
    </row>
    <row r="787" spans="1:10" x14ac:dyDescent="0.3">
      <c r="A787">
        <v>234</v>
      </c>
      <c r="B787" t="s">
        <v>43</v>
      </c>
      <c r="C787" t="s">
        <v>15</v>
      </c>
      <c r="D787">
        <v>43.825533880000002</v>
      </c>
      <c r="E787">
        <v>376.78576700000002</v>
      </c>
      <c r="F787">
        <v>260.881891</v>
      </c>
      <c r="G787">
        <v>187.22798929999999</v>
      </c>
      <c r="H787">
        <v>31.280399389999999</v>
      </c>
      <c r="J787" s="1">
        <v>45160</v>
      </c>
    </row>
    <row r="788" spans="1:10" x14ac:dyDescent="0.3">
      <c r="A788">
        <v>802</v>
      </c>
      <c r="B788" t="s">
        <v>14</v>
      </c>
      <c r="C788" t="s">
        <v>15</v>
      </c>
      <c r="D788">
        <v>50.918647460000003</v>
      </c>
      <c r="E788">
        <v>599.60086590000003</v>
      </c>
      <c r="F788">
        <v>515.56373269999995</v>
      </c>
      <c r="G788">
        <v>170.5011155</v>
      </c>
      <c r="H788">
        <v>39.749875199999998</v>
      </c>
      <c r="I788" t="s">
        <v>18</v>
      </c>
      <c r="J788" s="1">
        <v>45728</v>
      </c>
    </row>
    <row r="789" spans="1:10" x14ac:dyDescent="0.3">
      <c r="A789">
        <v>677</v>
      </c>
      <c r="B789" t="s">
        <v>42</v>
      </c>
      <c r="C789" t="s">
        <v>41</v>
      </c>
      <c r="D789">
        <v>35.538719669999999</v>
      </c>
      <c r="E789">
        <v>436.96875210000002</v>
      </c>
      <c r="F789">
        <v>640.97183700000005</v>
      </c>
      <c r="G789">
        <v>184.6470841</v>
      </c>
      <c r="H789">
        <v>39.969314699999998</v>
      </c>
      <c r="I789" t="s">
        <v>40</v>
      </c>
      <c r="J789" s="1">
        <v>45603</v>
      </c>
    </row>
    <row r="790" spans="1:10" x14ac:dyDescent="0.3">
      <c r="A790">
        <v>318</v>
      </c>
      <c r="B790" t="s">
        <v>12</v>
      </c>
      <c r="C790" t="s">
        <v>15</v>
      </c>
      <c r="D790">
        <v>56.294135850000004</v>
      </c>
      <c r="E790">
        <v>574.05908680000005</v>
      </c>
      <c r="F790">
        <v>389.05725649999999</v>
      </c>
      <c r="G790">
        <v>170.68196570000001</v>
      </c>
      <c r="H790">
        <v>26.254603920000001</v>
      </c>
      <c r="J790" s="1">
        <v>45244</v>
      </c>
    </row>
    <row r="791" spans="1:10" x14ac:dyDescent="0.3">
      <c r="A791">
        <v>649</v>
      </c>
      <c r="B791" t="s">
        <v>12</v>
      </c>
      <c r="C791" t="s">
        <v>19</v>
      </c>
      <c r="D791">
        <v>56.329617519999999</v>
      </c>
      <c r="E791">
        <v>479.10458449999999</v>
      </c>
      <c r="F791">
        <v>575.01556949999997</v>
      </c>
      <c r="G791">
        <v>286.49426990000001</v>
      </c>
      <c r="H791">
        <v>28.300774789999998</v>
      </c>
      <c r="I791" t="s">
        <v>40</v>
      </c>
      <c r="J791" s="1">
        <v>45575</v>
      </c>
    </row>
    <row r="792" spans="1:10" x14ac:dyDescent="0.3">
      <c r="A792">
        <v>411</v>
      </c>
      <c r="B792" t="s">
        <v>42</v>
      </c>
      <c r="C792" t="s">
        <v>17</v>
      </c>
      <c r="D792">
        <v>49.701095260000002</v>
      </c>
      <c r="E792">
        <v>431.47938019999998</v>
      </c>
      <c r="F792">
        <v>500.703214</v>
      </c>
      <c r="G792">
        <v>174.9806955</v>
      </c>
      <c r="H792">
        <v>32.03978455</v>
      </c>
      <c r="I792" t="s">
        <v>40</v>
      </c>
      <c r="J792" s="1">
        <v>45337</v>
      </c>
    </row>
    <row r="793" spans="1:10" x14ac:dyDescent="0.3">
      <c r="A793">
        <v>916</v>
      </c>
      <c r="B793" t="s">
        <v>14</v>
      </c>
      <c r="C793" t="s">
        <v>15</v>
      </c>
      <c r="D793">
        <v>42.54526508</v>
      </c>
      <c r="E793">
        <v>588.9987562</v>
      </c>
      <c r="F793">
        <v>551.48427000000004</v>
      </c>
      <c r="G793">
        <v>262.85398839999999</v>
      </c>
      <c r="H793">
        <v>29.105082790000001</v>
      </c>
      <c r="I793" t="s">
        <v>16</v>
      </c>
      <c r="J793" s="1">
        <v>45842</v>
      </c>
    </row>
    <row r="794" spans="1:10" x14ac:dyDescent="0.3">
      <c r="A794">
        <v>710</v>
      </c>
      <c r="B794" t="s">
        <v>13</v>
      </c>
      <c r="C794" t="s">
        <v>41</v>
      </c>
      <c r="D794">
        <v>44.842829299999998</v>
      </c>
      <c r="E794">
        <v>493.3612382</v>
      </c>
      <c r="F794">
        <v>618.1463569</v>
      </c>
      <c r="G794">
        <v>234.3782176</v>
      </c>
      <c r="H794">
        <v>21.902219859999999</v>
      </c>
      <c r="I794" t="s">
        <v>44</v>
      </c>
      <c r="J794" s="1">
        <v>45636</v>
      </c>
    </row>
    <row r="795" spans="1:10" x14ac:dyDescent="0.3">
      <c r="A795">
        <v>359</v>
      </c>
      <c r="B795" t="s">
        <v>43</v>
      </c>
      <c r="C795" t="s">
        <v>41</v>
      </c>
      <c r="D795">
        <v>38.120871909999998</v>
      </c>
      <c r="E795">
        <v>608.19420600000001</v>
      </c>
      <c r="F795">
        <v>786.56235909999998</v>
      </c>
      <c r="G795">
        <v>180.18022400000001</v>
      </c>
      <c r="H795">
        <v>31.42028285</v>
      </c>
      <c r="I795" t="s">
        <v>40</v>
      </c>
      <c r="J795" s="1">
        <v>45285</v>
      </c>
    </row>
    <row r="796" spans="1:10" x14ac:dyDescent="0.3">
      <c r="A796">
        <v>259</v>
      </c>
      <c r="B796" t="s">
        <v>14</v>
      </c>
      <c r="C796" t="s">
        <v>19</v>
      </c>
      <c r="D796">
        <v>54.996371009999997</v>
      </c>
      <c r="E796">
        <v>561.848838</v>
      </c>
      <c r="F796">
        <v>567.46909870000002</v>
      </c>
      <c r="G796">
        <v>183.97687250000001</v>
      </c>
      <c r="H796">
        <v>31.319515590000002</v>
      </c>
      <c r="I796" t="s">
        <v>44</v>
      </c>
      <c r="J796" s="1">
        <v>45185</v>
      </c>
    </row>
    <row r="797" spans="1:10" x14ac:dyDescent="0.3">
      <c r="A797">
        <v>745</v>
      </c>
      <c r="B797" t="s">
        <v>12</v>
      </c>
      <c r="C797" t="s">
        <v>15</v>
      </c>
      <c r="D797">
        <v>220.3206318</v>
      </c>
      <c r="E797">
        <v>364.59816419999999</v>
      </c>
      <c r="F797">
        <v>482.86741160000003</v>
      </c>
      <c r="G797">
        <v>264.26926400000002</v>
      </c>
      <c r="H797">
        <v>28.944656649999999</v>
      </c>
      <c r="J797" s="1">
        <v>45671</v>
      </c>
    </row>
    <row r="798" spans="1:10" x14ac:dyDescent="0.3">
      <c r="A798">
        <v>628</v>
      </c>
      <c r="B798" t="s">
        <v>12</v>
      </c>
      <c r="C798" t="s">
        <v>15</v>
      </c>
      <c r="D798">
        <v>38.689736089999997</v>
      </c>
      <c r="E798">
        <v>430.1804467</v>
      </c>
      <c r="F798">
        <v>491.29491209999998</v>
      </c>
      <c r="G798">
        <v>191.39278630000001</v>
      </c>
      <c r="H798">
        <v>29.957073990000001</v>
      </c>
      <c r="I798" t="s">
        <v>18</v>
      </c>
      <c r="J798" s="1">
        <v>45554</v>
      </c>
    </row>
    <row r="799" spans="1:10" x14ac:dyDescent="0.3">
      <c r="A799">
        <v>633</v>
      </c>
      <c r="B799" t="s">
        <v>10</v>
      </c>
      <c r="C799" t="s">
        <v>11</v>
      </c>
      <c r="D799">
        <v>57.02406569</v>
      </c>
      <c r="E799">
        <v>519.15392989999998</v>
      </c>
      <c r="F799">
        <v>467.11742509999999</v>
      </c>
      <c r="G799">
        <v>288.80436400000002</v>
      </c>
      <c r="H799">
        <v>30.03482112</v>
      </c>
      <c r="I799" t="s">
        <v>16</v>
      </c>
      <c r="J799" s="1">
        <v>45559</v>
      </c>
    </row>
    <row r="800" spans="1:10" x14ac:dyDescent="0.3">
      <c r="A800">
        <v>283</v>
      </c>
      <c r="B800" t="s">
        <v>43</v>
      </c>
      <c r="C800" t="s">
        <v>19</v>
      </c>
      <c r="D800">
        <v>64.59493603</v>
      </c>
      <c r="E800">
        <v>540.64774769999997</v>
      </c>
      <c r="F800">
        <v>674.66317219999996</v>
      </c>
      <c r="G800">
        <v>217.7715962</v>
      </c>
      <c r="H800">
        <v>32.218696459999997</v>
      </c>
      <c r="I800" t="s">
        <v>18</v>
      </c>
      <c r="J800" s="1">
        <v>45209</v>
      </c>
    </row>
    <row r="801" spans="1:10" x14ac:dyDescent="0.3">
      <c r="A801">
        <v>377</v>
      </c>
      <c r="B801" t="s">
        <v>14</v>
      </c>
      <c r="C801" t="s">
        <v>19</v>
      </c>
      <c r="D801">
        <v>31.975910930000001</v>
      </c>
      <c r="E801">
        <v>545.41831669999999</v>
      </c>
      <c r="F801">
        <v>417.70112130000001</v>
      </c>
      <c r="G801">
        <v>243.03623390000001</v>
      </c>
      <c r="H801">
        <v>30.875874750000001</v>
      </c>
      <c r="I801" t="s">
        <v>18</v>
      </c>
      <c r="J801" s="1">
        <v>45303</v>
      </c>
    </row>
    <row r="802" spans="1:10" x14ac:dyDescent="0.3">
      <c r="A802">
        <v>385</v>
      </c>
      <c r="B802" t="s">
        <v>42</v>
      </c>
      <c r="C802" t="s">
        <v>11</v>
      </c>
      <c r="D802">
        <v>40.334829740000004</v>
      </c>
      <c r="E802">
        <v>519.32074230000001</v>
      </c>
      <c r="F802">
        <v>571.9435211</v>
      </c>
      <c r="G802">
        <v>200.87277330000001</v>
      </c>
      <c r="H802">
        <v>36.127352729999998</v>
      </c>
      <c r="I802" t="s">
        <v>40</v>
      </c>
      <c r="J802" s="1">
        <v>45311</v>
      </c>
    </row>
    <row r="803" spans="1:10" x14ac:dyDescent="0.3">
      <c r="A803">
        <v>225</v>
      </c>
      <c r="B803" t="s">
        <v>10</v>
      </c>
      <c r="C803" t="s">
        <v>19</v>
      </c>
      <c r="D803">
        <v>47.473143120000003</v>
      </c>
      <c r="E803">
        <v>447.0062231</v>
      </c>
      <c r="F803">
        <v>648.17148029999998</v>
      </c>
      <c r="G803">
        <v>195.10845939999999</v>
      </c>
      <c r="H803">
        <v>20.345735300000001</v>
      </c>
      <c r="J803" s="1">
        <v>45151</v>
      </c>
    </row>
    <row r="804" spans="1:10" x14ac:dyDescent="0.3">
      <c r="A804">
        <v>974</v>
      </c>
      <c r="B804" t="s">
        <v>43</v>
      </c>
      <c r="C804" t="s">
        <v>17</v>
      </c>
      <c r="D804">
        <v>41.349607740000003</v>
      </c>
      <c r="E804">
        <v>420.06515469999999</v>
      </c>
      <c r="F804">
        <v>625.7968214</v>
      </c>
      <c r="G804">
        <v>218.29546690000001</v>
      </c>
      <c r="H804">
        <v>24.687462119999999</v>
      </c>
      <c r="I804" t="s">
        <v>16</v>
      </c>
      <c r="J804" s="1">
        <v>45900</v>
      </c>
    </row>
    <row r="805" spans="1:10" x14ac:dyDescent="0.3">
      <c r="A805">
        <v>966</v>
      </c>
      <c r="B805" t="s">
        <v>42</v>
      </c>
      <c r="C805" t="s">
        <v>17</v>
      </c>
      <c r="D805">
        <v>38.197070600000004</v>
      </c>
      <c r="E805">
        <v>553.34008510000001</v>
      </c>
      <c r="F805">
        <v>593.94275019999998</v>
      </c>
      <c r="G805">
        <v>106.9480035</v>
      </c>
      <c r="H805">
        <v>24.799168470000001</v>
      </c>
      <c r="I805" t="s">
        <v>16</v>
      </c>
      <c r="J805" s="1">
        <v>45892</v>
      </c>
    </row>
    <row r="806" spans="1:10" x14ac:dyDescent="0.3">
      <c r="A806">
        <v>473</v>
      </c>
      <c r="B806" t="s">
        <v>10</v>
      </c>
      <c r="C806" t="s">
        <v>11</v>
      </c>
      <c r="D806">
        <v>44.166420279999997</v>
      </c>
      <c r="E806">
        <v>413.5608929</v>
      </c>
      <c r="F806">
        <v>616.97571819999996</v>
      </c>
      <c r="G806">
        <v>249.78906140000001</v>
      </c>
      <c r="H806">
        <v>34.544062060000002</v>
      </c>
      <c r="I806" t="s">
        <v>40</v>
      </c>
      <c r="J806" s="1">
        <v>45399</v>
      </c>
    </row>
    <row r="807" spans="1:10" x14ac:dyDescent="0.3">
      <c r="A807">
        <v>348</v>
      </c>
      <c r="B807" t="s">
        <v>13</v>
      </c>
      <c r="C807" t="s">
        <v>19</v>
      </c>
      <c r="D807">
        <v>50.312668770000002</v>
      </c>
      <c r="E807">
        <v>443.06162999999998</v>
      </c>
      <c r="F807">
        <v>578.36739980000004</v>
      </c>
      <c r="G807">
        <v>137.98228739999999</v>
      </c>
      <c r="H807">
        <v>27.378586290000001</v>
      </c>
      <c r="I807" t="s">
        <v>40</v>
      </c>
      <c r="J807" s="1">
        <v>45274</v>
      </c>
    </row>
    <row r="808" spans="1:10" x14ac:dyDescent="0.3">
      <c r="A808">
        <v>506</v>
      </c>
      <c r="B808" t="s">
        <v>14</v>
      </c>
      <c r="C808" t="s">
        <v>41</v>
      </c>
      <c r="D808">
        <v>50.30311657</v>
      </c>
      <c r="E808">
        <v>576.64673679999999</v>
      </c>
      <c r="F808">
        <v>481.13582330000003</v>
      </c>
      <c r="G808">
        <v>159.76203269999999</v>
      </c>
      <c r="H808">
        <v>29.31044374</v>
      </c>
      <c r="J808" s="1">
        <v>45432</v>
      </c>
    </row>
    <row r="809" spans="1:10" x14ac:dyDescent="0.3">
      <c r="A809">
        <v>640</v>
      </c>
      <c r="B809" t="s">
        <v>13</v>
      </c>
      <c r="C809" t="s">
        <v>11</v>
      </c>
      <c r="D809">
        <v>55.67055517</v>
      </c>
      <c r="E809">
        <v>431.1282334</v>
      </c>
      <c r="F809">
        <v>436.32967280000003</v>
      </c>
      <c r="G809">
        <v>169.46090269999999</v>
      </c>
      <c r="H809">
        <v>36.084844310000001</v>
      </c>
      <c r="I809" t="s">
        <v>16</v>
      </c>
      <c r="J809" s="1">
        <v>45566</v>
      </c>
    </row>
    <row r="810" spans="1:10" x14ac:dyDescent="0.3">
      <c r="A810">
        <v>811</v>
      </c>
      <c r="B810" t="s">
        <v>14</v>
      </c>
      <c r="C810" t="s">
        <v>11</v>
      </c>
      <c r="D810">
        <v>59.024692229999999</v>
      </c>
      <c r="E810">
        <v>433.37157989999997</v>
      </c>
      <c r="F810">
        <v>352.3452461</v>
      </c>
      <c r="G810">
        <v>224.84062539999999</v>
      </c>
      <c r="H810">
        <v>23.776165630000001</v>
      </c>
      <c r="I810" t="s">
        <v>44</v>
      </c>
      <c r="J810" s="1">
        <v>45737</v>
      </c>
    </row>
    <row r="811" spans="1:10" x14ac:dyDescent="0.3">
      <c r="A811">
        <v>798</v>
      </c>
      <c r="B811" t="s">
        <v>43</v>
      </c>
      <c r="C811" t="s">
        <v>41</v>
      </c>
      <c r="D811">
        <v>46.13523283</v>
      </c>
      <c r="E811">
        <v>465.88920969999998</v>
      </c>
      <c r="F811">
        <v>483.36154979999998</v>
      </c>
      <c r="G811">
        <v>166.95696190000001</v>
      </c>
      <c r="H811">
        <v>33.580228750000003</v>
      </c>
      <c r="I811" t="s">
        <v>40</v>
      </c>
      <c r="J811" s="1">
        <v>45724</v>
      </c>
    </row>
    <row r="812" spans="1:10" x14ac:dyDescent="0.3">
      <c r="A812">
        <v>947</v>
      </c>
      <c r="B812" t="s">
        <v>14</v>
      </c>
      <c r="C812" t="s">
        <v>17</v>
      </c>
      <c r="D812">
        <v>49.540299920000002</v>
      </c>
      <c r="E812">
        <v>532.50141359999998</v>
      </c>
      <c r="F812">
        <v>440.08113830000002</v>
      </c>
      <c r="G812">
        <v>199.7447712</v>
      </c>
      <c r="H812">
        <v>35.112241359999999</v>
      </c>
      <c r="J812" s="1">
        <v>45873</v>
      </c>
    </row>
    <row r="813" spans="1:10" x14ac:dyDescent="0.3">
      <c r="A813">
        <v>923</v>
      </c>
      <c r="D813">
        <v>31.80692071</v>
      </c>
      <c r="E813">
        <v>617.16623119999997</v>
      </c>
      <c r="F813">
        <v>451.16061150000002</v>
      </c>
      <c r="G813">
        <v>184.2398537</v>
      </c>
      <c r="H813">
        <v>23.200154049999998</v>
      </c>
      <c r="I813" t="s">
        <v>18</v>
      </c>
      <c r="J813" s="1">
        <v>45849</v>
      </c>
    </row>
    <row r="814" spans="1:10" x14ac:dyDescent="0.3">
      <c r="A814">
        <v>620</v>
      </c>
      <c r="B814" t="s">
        <v>43</v>
      </c>
      <c r="C814" t="s">
        <v>11</v>
      </c>
      <c r="D814">
        <v>47.788869050000002</v>
      </c>
      <c r="E814">
        <v>481.31304030000001</v>
      </c>
      <c r="F814">
        <v>390.09412589999999</v>
      </c>
      <c r="G814">
        <v>258.26637090000003</v>
      </c>
      <c r="H814">
        <v>28.73923267</v>
      </c>
      <c r="I814" t="s">
        <v>44</v>
      </c>
      <c r="J814" s="1">
        <v>45546</v>
      </c>
    </row>
    <row r="815" spans="1:10" x14ac:dyDescent="0.3">
      <c r="A815">
        <v>873</v>
      </c>
      <c r="B815" t="s">
        <v>10</v>
      </c>
      <c r="C815" t="s">
        <v>15</v>
      </c>
      <c r="D815">
        <v>46.008881479999999</v>
      </c>
      <c r="E815">
        <v>376.67311740000002</v>
      </c>
      <c r="F815">
        <v>330.07257559999999</v>
      </c>
      <c r="G815">
        <v>250.3297858</v>
      </c>
      <c r="H815">
        <v>30.26606099</v>
      </c>
      <c r="J815" s="1">
        <v>45799</v>
      </c>
    </row>
    <row r="816" spans="1:10" x14ac:dyDescent="0.3">
      <c r="A816">
        <v>821</v>
      </c>
      <c r="C816" t="s">
        <v>17</v>
      </c>
      <c r="D816">
        <v>52.651555270000003</v>
      </c>
      <c r="E816">
        <v>398.5065194</v>
      </c>
      <c r="F816">
        <v>393.32773400000002</v>
      </c>
      <c r="G816">
        <v>253.92667729999999</v>
      </c>
      <c r="H816">
        <v>20.475321109999999</v>
      </c>
      <c r="I816" t="s">
        <v>40</v>
      </c>
      <c r="J816" s="1">
        <v>45747</v>
      </c>
    </row>
    <row r="817" spans="1:10" x14ac:dyDescent="0.3">
      <c r="A817">
        <v>646</v>
      </c>
      <c r="B817" t="s">
        <v>12</v>
      </c>
      <c r="C817" t="s">
        <v>15</v>
      </c>
      <c r="D817">
        <v>46.84735156</v>
      </c>
      <c r="E817">
        <v>471.71534539999999</v>
      </c>
      <c r="F817">
        <v>618.07290609999995</v>
      </c>
      <c r="G817">
        <v>184.24498320000001</v>
      </c>
      <c r="H817">
        <v>34.740421939999997</v>
      </c>
      <c r="I817" t="s">
        <v>40</v>
      </c>
      <c r="J817" s="1">
        <v>45572</v>
      </c>
    </row>
    <row r="818" spans="1:10" x14ac:dyDescent="0.3">
      <c r="A818">
        <v>864</v>
      </c>
      <c r="B818" t="s">
        <v>14</v>
      </c>
      <c r="C818" t="s">
        <v>11</v>
      </c>
      <c r="D818">
        <v>48.195102110000001</v>
      </c>
      <c r="E818">
        <v>605.44316549999996</v>
      </c>
      <c r="F818">
        <v>414.07681739999998</v>
      </c>
      <c r="G818">
        <v>243.3596531</v>
      </c>
      <c r="H818">
        <v>18.30913773</v>
      </c>
      <c r="J818" s="1">
        <v>45790</v>
      </c>
    </row>
    <row r="819" spans="1:10" x14ac:dyDescent="0.3">
      <c r="A819">
        <v>557</v>
      </c>
      <c r="C819" t="s">
        <v>11</v>
      </c>
      <c r="D819">
        <v>51.26449023</v>
      </c>
      <c r="E819">
        <v>541.76736979999998</v>
      </c>
      <c r="F819">
        <v>449.97746000000001</v>
      </c>
      <c r="G819">
        <v>171.33300800000001</v>
      </c>
      <c r="H819">
        <v>31.477803009999999</v>
      </c>
      <c r="J819" s="1">
        <v>45483</v>
      </c>
    </row>
    <row r="820" spans="1:10" x14ac:dyDescent="0.3">
      <c r="A820">
        <v>978</v>
      </c>
      <c r="B820" t="s">
        <v>13</v>
      </c>
      <c r="D820">
        <v>31.752759529999999</v>
      </c>
      <c r="E820">
        <v>384.5305257</v>
      </c>
      <c r="F820">
        <v>559.00710140000001</v>
      </c>
      <c r="G820">
        <v>240.49784070000001</v>
      </c>
      <c r="H820">
        <v>21.924840639999999</v>
      </c>
      <c r="I820" t="s">
        <v>16</v>
      </c>
      <c r="J820" s="1">
        <v>45904</v>
      </c>
    </row>
    <row r="821" spans="1:10" x14ac:dyDescent="0.3">
      <c r="A821">
        <v>578</v>
      </c>
      <c r="B821" t="s">
        <v>42</v>
      </c>
      <c r="D821">
        <v>147.28361659999999</v>
      </c>
      <c r="E821">
        <v>559.98593000000005</v>
      </c>
      <c r="F821">
        <v>520.64380430000006</v>
      </c>
      <c r="G821">
        <v>206.9095318</v>
      </c>
      <c r="H821">
        <v>26.0936375</v>
      </c>
      <c r="I821" t="s">
        <v>40</v>
      </c>
      <c r="J821" s="1">
        <v>45504</v>
      </c>
    </row>
    <row r="822" spans="1:10" x14ac:dyDescent="0.3">
      <c r="A822">
        <v>796</v>
      </c>
      <c r="B822" t="s">
        <v>10</v>
      </c>
      <c r="D822">
        <v>44.732445669999997</v>
      </c>
      <c r="E822">
        <v>579.91788199999996</v>
      </c>
      <c r="F822">
        <v>407.35284910000001</v>
      </c>
      <c r="G822">
        <v>181.48872040000001</v>
      </c>
      <c r="H822">
        <v>28.087033089999998</v>
      </c>
      <c r="I822" t="s">
        <v>44</v>
      </c>
      <c r="J822" s="1">
        <v>45722</v>
      </c>
    </row>
    <row r="823" spans="1:10" x14ac:dyDescent="0.3">
      <c r="A823">
        <v>86</v>
      </c>
      <c r="B823" t="s">
        <v>12</v>
      </c>
      <c r="C823" t="s">
        <v>15</v>
      </c>
      <c r="D823">
        <v>55.64277388</v>
      </c>
      <c r="E823">
        <v>578.21826080000005</v>
      </c>
      <c r="F823">
        <v>617.26040720000003</v>
      </c>
      <c r="G823">
        <v>194.34598320000001</v>
      </c>
      <c r="H823">
        <v>28.948390020000001</v>
      </c>
      <c r="J823" s="1">
        <v>45012</v>
      </c>
    </row>
    <row r="824" spans="1:10" x14ac:dyDescent="0.3">
      <c r="A824">
        <v>243</v>
      </c>
      <c r="B824" t="s">
        <v>10</v>
      </c>
      <c r="C824" t="s">
        <v>41</v>
      </c>
      <c r="D824">
        <v>36.926476190000002</v>
      </c>
      <c r="E824">
        <v>516.27444149999997</v>
      </c>
      <c r="F824">
        <v>656.34990449999998</v>
      </c>
      <c r="G824">
        <v>117.65680709999999</v>
      </c>
      <c r="H824">
        <v>26.062623479999999</v>
      </c>
      <c r="I824" t="s">
        <v>40</v>
      </c>
      <c r="J824" s="1">
        <v>45169</v>
      </c>
    </row>
    <row r="825" spans="1:10" x14ac:dyDescent="0.3">
      <c r="A825">
        <v>699</v>
      </c>
      <c r="B825" t="s">
        <v>10</v>
      </c>
      <c r="C825" t="s">
        <v>15</v>
      </c>
      <c r="D825">
        <v>57.65390214</v>
      </c>
      <c r="E825">
        <v>398.66841640000001</v>
      </c>
      <c r="F825">
        <v>598.78321689999996</v>
      </c>
      <c r="G825">
        <v>218.3547921</v>
      </c>
      <c r="H825">
        <v>20.351098839999999</v>
      </c>
      <c r="I825" t="s">
        <v>40</v>
      </c>
      <c r="J825" s="1">
        <v>45625</v>
      </c>
    </row>
    <row r="826" spans="1:10" x14ac:dyDescent="0.3">
      <c r="A826">
        <v>160</v>
      </c>
      <c r="B826" t="s">
        <v>13</v>
      </c>
      <c r="D826">
        <v>54.03390023</v>
      </c>
      <c r="E826">
        <v>511.90184060000001</v>
      </c>
      <c r="F826">
        <v>467.25342069999999</v>
      </c>
      <c r="G826">
        <v>190.6557085</v>
      </c>
      <c r="H826">
        <v>29.486656960000001</v>
      </c>
      <c r="I826" t="s">
        <v>18</v>
      </c>
      <c r="J826" s="1">
        <v>45086</v>
      </c>
    </row>
    <row r="827" spans="1:10" x14ac:dyDescent="0.3">
      <c r="A827">
        <v>525</v>
      </c>
      <c r="B827" t="s">
        <v>12</v>
      </c>
      <c r="C827" t="s">
        <v>15</v>
      </c>
      <c r="D827">
        <v>47.495319610000003</v>
      </c>
      <c r="E827">
        <v>579.31693670000004</v>
      </c>
      <c r="F827">
        <v>346.37769209999999</v>
      </c>
      <c r="G827">
        <v>243.19733189999999</v>
      </c>
      <c r="H827">
        <v>30.42978694</v>
      </c>
      <c r="I827" t="s">
        <v>16</v>
      </c>
      <c r="J827" s="1">
        <v>45451</v>
      </c>
    </row>
    <row r="828" spans="1:10" x14ac:dyDescent="0.3">
      <c r="A828">
        <v>36</v>
      </c>
      <c r="C828" t="s">
        <v>11</v>
      </c>
      <c r="D828">
        <v>45.04133822</v>
      </c>
      <c r="E828">
        <v>571.56582449999996</v>
      </c>
      <c r="F828">
        <v>534.07866660000002</v>
      </c>
      <c r="G828">
        <v>296.62297489999997</v>
      </c>
      <c r="H828">
        <v>25.2403993</v>
      </c>
      <c r="J828" s="1">
        <v>44962</v>
      </c>
    </row>
    <row r="829" spans="1:10" x14ac:dyDescent="0.3">
      <c r="A829">
        <v>541</v>
      </c>
      <c r="B829" t="s">
        <v>14</v>
      </c>
      <c r="C829" t="s">
        <v>41</v>
      </c>
      <c r="D829">
        <v>45.458104419999998</v>
      </c>
      <c r="E829">
        <v>509.96057569999999</v>
      </c>
      <c r="F829">
        <v>540.32578699999999</v>
      </c>
      <c r="G829">
        <v>148.46435339999999</v>
      </c>
      <c r="H829">
        <v>23.130554409999998</v>
      </c>
      <c r="J829" s="1">
        <v>45467</v>
      </c>
    </row>
    <row r="830" spans="1:10" x14ac:dyDescent="0.3">
      <c r="A830">
        <v>171</v>
      </c>
      <c r="C830" t="s">
        <v>15</v>
      </c>
      <c r="D830">
        <v>59.629655290000002</v>
      </c>
      <c r="E830">
        <v>701.79079639999998</v>
      </c>
      <c r="F830">
        <v>521.32610609999995</v>
      </c>
      <c r="G830">
        <v>136.42896110000001</v>
      </c>
      <c r="H830">
        <v>32.416624140000003</v>
      </c>
      <c r="J830" s="1">
        <v>45097</v>
      </c>
    </row>
    <row r="831" spans="1:10" x14ac:dyDescent="0.3">
      <c r="A831">
        <v>655</v>
      </c>
      <c r="B831" t="s">
        <v>43</v>
      </c>
      <c r="C831" t="s">
        <v>15</v>
      </c>
      <c r="D831">
        <v>53.794820569999999</v>
      </c>
      <c r="E831">
        <v>575.11308480000002</v>
      </c>
      <c r="F831">
        <v>600.52519619999998</v>
      </c>
      <c r="G831">
        <v>156.21382070000001</v>
      </c>
      <c r="H831">
        <v>32.430842990000002</v>
      </c>
      <c r="J831" s="1">
        <v>45581</v>
      </c>
    </row>
    <row r="832" spans="1:10" x14ac:dyDescent="0.3">
      <c r="A832">
        <v>908</v>
      </c>
      <c r="B832" t="s">
        <v>13</v>
      </c>
      <c r="C832" t="s">
        <v>19</v>
      </c>
      <c r="D832">
        <v>45.143488240000003</v>
      </c>
      <c r="E832">
        <v>381.6114824</v>
      </c>
      <c r="F832">
        <v>383.14320199999997</v>
      </c>
      <c r="G832">
        <v>158.55417829999999</v>
      </c>
      <c r="H832">
        <v>17.690101469999998</v>
      </c>
      <c r="J832" s="1">
        <v>45834</v>
      </c>
    </row>
    <row r="833" spans="1:10" x14ac:dyDescent="0.3">
      <c r="A833">
        <v>875</v>
      </c>
      <c r="B833" t="s">
        <v>10</v>
      </c>
      <c r="C833" t="s">
        <v>19</v>
      </c>
      <c r="D833">
        <v>36.222992269999999</v>
      </c>
      <c r="E833">
        <v>290.33243010000001</v>
      </c>
      <c r="F833">
        <v>311.77103190000003</v>
      </c>
      <c r="G833">
        <v>181.0824059</v>
      </c>
      <c r="H833">
        <v>37.790918150000003</v>
      </c>
      <c r="J833" s="1">
        <v>45801</v>
      </c>
    </row>
    <row r="834" spans="1:10" x14ac:dyDescent="0.3">
      <c r="A834">
        <v>865</v>
      </c>
      <c r="B834" t="s">
        <v>10</v>
      </c>
      <c r="C834" t="s">
        <v>15</v>
      </c>
      <c r="D834">
        <v>42.208483479999998</v>
      </c>
      <c r="E834">
        <v>447.38376460000001</v>
      </c>
      <c r="F834">
        <v>637.77357910000001</v>
      </c>
      <c r="G834">
        <v>153.0148701</v>
      </c>
      <c r="H834">
        <v>23.544802130000001</v>
      </c>
      <c r="I834" t="s">
        <v>44</v>
      </c>
      <c r="J834" s="1">
        <v>45791</v>
      </c>
    </row>
    <row r="835" spans="1:10" x14ac:dyDescent="0.3">
      <c r="A835">
        <v>963</v>
      </c>
      <c r="B835" t="s">
        <v>10</v>
      </c>
      <c r="D835">
        <v>55.289579359999998</v>
      </c>
      <c r="E835">
        <v>382.77395469999999</v>
      </c>
      <c r="F835">
        <v>373.90098239999998</v>
      </c>
      <c r="G835">
        <v>155.1934766</v>
      </c>
      <c r="H835">
        <v>29.40456928</v>
      </c>
      <c r="J835" s="1">
        <v>45889</v>
      </c>
    </row>
    <row r="836" spans="1:10" x14ac:dyDescent="0.3">
      <c r="A836">
        <v>734</v>
      </c>
      <c r="B836" t="s">
        <v>43</v>
      </c>
      <c r="C836" t="s">
        <v>19</v>
      </c>
      <c r="D836">
        <v>53.041929199999998</v>
      </c>
      <c r="E836">
        <v>569.18811449999998</v>
      </c>
      <c r="F836">
        <v>552.98746740000001</v>
      </c>
      <c r="G836">
        <v>119.74525180000001</v>
      </c>
      <c r="I836" t="s">
        <v>40</v>
      </c>
      <c r="J836" s="1">
        <v>45660</v>
      </c>
    </row>
    <row r="837" spans="1:10" x14ac:dyDescent="0.3">
      <c r="A837">
        <v>96</v>
      </c>
      <c r="B837" t="s">
        <v>42</v>
      </c>
      <c r="C837" t="s">
        <v>15</v>
      </c>
      <c r="D837">
        <v>70.017371030000007</v>
      </c>
      <c r="E837">
        <v>497.19161339999999</v>
      </c>
      <c r="F837">
        <v>634.39168429999995</v>
      </c>
      <c r="G837">
        <v>257.23798060000001</v>
      </c>
      <c r="H837">
        <v>29.056449359999998</v>
      </c>
      <c r="I837" t="s">
        <v>40</v>
      </c>
      <c r="J837" s="1">
        <v>45022</v>
      </c>
    </row>
    <row r="838" spans="1:10" x14ac:dyDescent="0.3">
      <c r="A838">
        <v>564</v>
      </c>
      <c r="B838" t="s">
        <v>10</v>
      </c>
      <c r="C838" t="s">
        <v>19</v>
      </c>
      <c r="D838">
        <v>58.278500960000002</v>
      </c>
      <c r="E838">
        <v>535.90201530000002</v>
      </c>
      <c r="F838">
        <v>380.59230539999999</v>
      </c>
      <c r="G838">
        <v>136.93940739999999</v>
      </c>
      <c r="H838">
        <v>26.077519639999998</v>
      </c>
      <c r="J838" s="1">
        <v>45490</v>
      </c>
    </row>
    <row r="839" spans="1:10" x14ac:dyDescent="0.3">
      <c r="A839">
        <v>241</v>
      </c>
      <c r="B839" t="s">
        <v>42</v>
      </c>
      <c r="C839" t="s">
        <v>41</v>
      </c>
      <c r="D839">
        <v>48.657318969999999</v>
      </c>
      <c r="E839">
        <v>428.33601299999998</v>
      </c>
      <c r="F839">
        <v>591.36540849999994</v>
      </c>
      <c r="G839">
        <v>112.9148223</v>
      </c>
      <c r="H839">
        <v>32.300271709999997</v>
      </c>
      <c r="J839" s="1">
        <v>45167</v>
      </c>
    </row>
    <row r="840" spans="1:10" x14ac:dyDescent="0.3">
      <c r="A840">
        <v>743</v>
      </c>
      <c r="B840" t="s">
        <v>14</v>
      </c>
      <c r="D840">
        <v>45.016376080000001</v>
      </c>
      <c r="E840">
        <v>676.87717829999997</v>
      </c>
      <c r="F840">
        <v>357.28975800000001</v>
      </c>
      <c r="G840">
        <v>125.1992721</v>
      </c>
      <c r="H840">
        <v>21.417584120000001</v>
      </c>
      <c r="I840" t="s">
        <v>18</v>
      </c>
      <c r="J840" s="1">
        <v>45669</v>
      </c>
    </row>
    <row r="841" spans="1:10" x14ac:dyDescent="0.3">
      <c r="A841">
        <v>575</v>
      </c>
      <c r="B841" t="s">
        <v>14</v>
      </c>
      <c r="C841" t="s">
        <v>11</v>
      </c>
      <c r="D841">
        <v>41.567393959999997</v>
      </c>
      <c r="E841">
        <v>510.57494789999998</v>
      </c>
      <c r="F841">
        <v>788.38884429999996</v>
      </c>
      <c r="G841">
        <v>145.45517050000001</v>
      </c>
      <c r="H841">
        <v>33.070564840000003</v>
      </c>
      <c r="I841" t="s">
        <v>18</v>
      </c>
      <c r="J841" s="1">
        <v>45501</v>
      </c>
    </row>
    <row r="842" spans="1:10" x14ac:dyDescent="0.3">
      <c r="A842">
        <v>691</v>
      </c>
      <c r="B842" t="s">
        <v>10</v>
      </c>
      <c r="D842">
        <v>63.094728959999998</v>
      </c>
      <c r="E842">
        <v>592.66055080000001</v>
      </c>
      <c r="F842">
        <v>519.77823139999998</v>
      </c>
      <c r="G842">
        <v>287.42879570000002</v>
      </c>
      <c r="H842">
        <v>28.517922779999999</v>
      </c>
      <c r="I842" t="s">
        <v>40</v>
      </c>
      <c r="J842" s="1">
        <v>45617</v>
      </c>
    </row>
    <row r="843" spans="1:10" x14ac:dyDescent="0.3">
      <c r="A843">
        <v>461</v>
      </c>
      <c r="C843" t="s">
        <v>19</v>
      </c>
      <c r="D843">
        <v>52.825435259999999</v>
      </c>
      <c r="E843">
        <v>666.43170980000002</v>
      </c>
      <c r="F843">
        <v>459.0066521</v>
      </c>
      <c r="G843">
        <v>150.43548089999999</v>
      </c>
      <c r="H843">
        <v>26.85471634</v>
      </c>
      <c r="I843" t="s">
        <v>40</v>
      </c>
      <c r="J843" s="1">
        <v>45387</v>
      </c>
    </row>
    <row r="844" spans="1:10" x14ac:dyDescent="0.3">
      <c r="A844">
        <v>554</v>
      </c>
      <c r="B844" t="s">
        <v>43</v>
      </c>
      <c r="C844" t="s">
        <v>41</v>
      </c>
      <c r="D844">
        <v>41.642378649999998</v>
      </c>
      <c r="E844">
        <v>285.97341210000002</v>
      </c>
      <c r="F844">
        <v>513.84031500000003</v>
      </c>
      <c r="G844">
        <v>219.0153421</v>
      </c>
      <c r="H844">
        <v>33.093629190000001</v>
      </c>
      <c r="I844" t="s">
        <v>18</v>
      </c>
      <c r="J844" s="1">
        <v>45480</v>
      </c>
    </row>
    <row r="845" spans="1:10" x14ac:dyDescent="0.3">
      <c r="A845">
        <v>896</v>
      </c>
      <c r="B845" t="s">
        <v>42</v>
      </c>
      <c r="D845">
        <v>61.570963849999998</v>
      </c>
      <c r="E845">
        <v>546.83155850000003</v>
      </c>
      <c r="F845">
        <v>617.64736530000005</v>
      </c>
      <c r="G845">
        <v>136.0790039</v>
      </c>
      <c r="H845">
        <v>39.32922276</v>
      </c>
      <c r="J845" s="1">
        <v>45822</v>
      </c>
    </row>
    <row r="846" spans="1:10" x14ac:dyDescent="0.3">
      <c r="A846">
        <v>207</v>
      </c>
      <c r="B846" t="s">
        <v>10</v>
      </c>
      <c r="C846" t="s">
        <v>19</v>
      </c>
      <c r="D846">
        <v>51.696937920000003</v>
      </c>
      <c r="E846">
        <v>532.57073579999997</v>
      </c>
      <c r="F846">
        <v>668.13553569999999</v>
      </c>
      <c r="G846">
        <v>257.30891300000002</v>
      </c>
      <c r="H846">
        <v>33.160604739999997</v>
      </c>
      <c r="I846" t="s">
        <v>40</v>
      </c>
      <c r="J846" s="1">
        <v>45133</v>
      </c>
    </row>
    <row r="847" spans="1:10" x14ac:dyDescent="0.3">
      <c r="A847">
        <v>393</v>
      </c>
      <c r="B847" t="s">
        <v>13</v>
      </c>
      <c r="C847" t="s">
        <v>15</v>
      </c>
      <c r="D847">
        <v>53.024497140000001</v>
      </c>
      <c r="E847">
        <v>400.36083109999998</v>
      </c>
      <c r="F847">
        <v>506.16301110000001</v>
      </c>
      <c r="G847">
        <v>232.4715233</v>
      </c>
      <c r="H847">
        <v>32.175391689999998</v>
      </c>
      <c r="I847" t="s">
        <v>40</v>
      </c>
      <c r="J847" s="1">
        <v>45319</v>
      </c>
    </row>
    <row r="848" spans="1:10" x14ac:dyDescent="0.3">
      <c r="A848">
        <v>795</v>
      </c>
      <c r="B848" t="s">
        <v>12</v>
      </c>
      <c r="C848" t="s">
        <v>15</v>
      </c>
      <c r="D848" t="s">
        <v>45</v>
      </c>
      <c r="E848">
        <v>533.19425569999999</v>
      </c>
      <c r="F848">
        <v>708.53202099999999</v>
      </c>
      <c r="G848">
        <v>229.23416409999999</v>
      </c>
      <c r="H848">
        <v>29.719722170000001</v>
      </c>
      <c r="I848" t="s">
        <v>16</v>
      </c>
      <c r="J848" s="1">
        <v>45721</v>
      </c>
    </row>
    <row r="849" spans="1:10" x14ac:dyDescent="0.3">
      <c r="A849">
        <v>398</v>
      </c>
      <c r="B849" t="s">
        <v>10</v>
      </c>
      <c r="D849">
        <v>59.12435249</v>
      </c>
      <c r="E849">
        <v>580.98578420000001</v>
      </c>
      <c r="F849">
        <v>420.6774795</v>
      </c>
      <c r="G849">
        <v>222.2782291</v>
      </c>
      <c r="H849">
        <v>34.574666950000001</v>
      </c>
      <c r="J849" s="1">
        <v>45324</v>
      </c>
    </row>
    <row r="850" spans="1:10" x14ac:dyDescent="0.3">
      <c r="A850">
        <v>767</v>
      </c>
      <c r="B850" t="s">
        <v>10</v>
      </c>
      <c r="D850">
        <v>63.75866173</v>
      </c>
      <c r="E850">
        <v>368.83172500000001</v>
      </c>
      <c r="F850">
        <v>281.35573419999997</v>
      </c>
      <c r="G850">
        <v>98.349963220000006</v>
      </c>
      <c r="H850">
        <v>31.869185730000002</v>
      </c>
      <c r="I850" t="s">
        <v>44</v>
      </c>
      <c r="J850" s="1">
        <v>45693</v>
      </c>
    </row>
    <row r="851" spans="1:10" x14ac:dyDescent="0.3">
      <c r="A851">
        <v>866</v>
      </c>
      <c r="B851" t="s">
        <v>13</v>
      </c>
      <c r="C851" t="s">
        <v>41</v>
      </c>
      <c r="D851">
        <v>48.05668455</v>
      </c>
      <c r="E851">
        <v>303.57074779999999</v>
      </c>
      <c r="F851">
        <v>412.13864539999997</v>
      </c>
      <c r="G851">
        <v>257.87765960000002</v>
      </c>
      <c r="H851">
        <v>31.642849250000001</v>
      </c>
      <c r="I851" t="s">
        <v>44</v>
      </c>
      <c r="J851" s="1">
        <v>45792</v>
      </c>
    </row>
    <row r="852" spans="1:10" x14ac:dyDescent="0.3">
      <c r="A852">
        <v>218</v>
      </c>
      <c r="B852" t="s">
        <v>42</v>
      </c>
      <c r="D852">
        <v>34.672041479999997</v>
      </c>
      <c r="E852">
        <v>561.9926332</v>
      </c>
      <c r="F852">
        <v>342.49192920000002</v>
      </c>
      <c r="G852">
        <v>191.25898179999999</v>
      </c>
      <c r="H852">
        <v>32.098554100000001</v>
      </c>
      <c r="I852" t="s">
        <v>40</v>
      </c>
      <c r="J852" s="1">
        <v>45144</v>
      </c>
    </row>
    <row r="853" spans="1:10" x14ac:dyDescent="0.3">
      <c r="A853">
        <v>5</v>
      </c>
      <c r="B853" t="s">
        <v>13</v>
      </c>
      <c r="C853" t="s">
        <v>41</v>
      </c>
      <c r="D853">
        <v>59.505027550000001</v>
      </c>
      <c r="E853">
        <v>355.19436280000002</v>
      </c>
      <c r="F853">
        <v>507.51769539999998</v>
      </c>
      <c r="G853">
        <v>229.43263400000001</v>
      </c>
      <c r="H853">
        <v>23.704671869999999</v>
      </c>
      <c r="I853" t="s">
        <v>18</v>
      </c>
      <c r="J853" s="1">
        <v>44931</v>
      </c>
    </row>
    <row r="854" spans="1:10" x14ac:dyDescent="0.3">
      <c r="A854">
        <v>769</v>
      </c>
      <c r="C854" t="s">
        <v>17</v>
      </c>
      <c r="D854">
        <v>30.638846860000001</v>
      </c>
      <c r="E854">
        <v>540.41016549999995</v>
      </c>
      <c r="F854">
        <v>490.1188593</v>
      </c>
      <c r="G854">
        <v>160.5057845</v>
      </c>
      <c r="H854">
        <v>36.401076359999998</v>
      </c>
      <c r="I854" t="s">
        <v>18</v>
      </c>
      <c r="J854" s="1">
        <v>45695</v>
      </c>
    </row>
    <row r="855" spans="1:10" x14ac:dyDescent="0.3">
      <c r="A855">
        <v>643</v>
      </c>
      <c r="B855" t="s">
        <v>12</v>
      </c>
      <c r="C855" t="s">
        <v>41</v>
      </c>
      <c r="D855">
        <v>50.799933809999999</v>
      </c>
      <c r="E855">
        <v>481.32280859999997</v>
      </c>
      <c r="F855">
        <v>423.13621560000001</v>
      </c>
      <c r="G855">
        <v>267.2690624</v>
      </c>
      <c r="H855">
        <v>40.942494930000002</v>
      </c>
      <c r="I855" t="s">
        <v>44</v>
      </c>
      <c r="J855" s="1">
        <v>45569</v>
      </c>
    </row>
    <row r="856" spans="1:10" x14ac:dyDescent="0.3">
      <c r="A856">
        <v>915</v>
      </c>
      <c r="D856">
        <v>68.402171350000003</v>
      </c>
      <c r="E856">
        <v>493.0421791</v>
      </c>
      <c r="F856">
        <v>450.45094540000002</v>
      </c>
      <c r="G856">
        <v>202.2303862</v>
      </c>
      <c r="H856">
        <v>23.123874409999999</v>
      </c>
      <c r="I856" t="s">
        <v>44</v>
      </c>
      <c r="J856" s="1">
        <v>45841</v>
      </c>
    </row>
    <row r="857" spans="1:10" x14ac:dyDescent="0.3">
      <c r="A857">
        <v>613</v>
      </c>
      <c r="B857" t="s">
        <v>10</v>
      </c>
      <c r="D857">
        <v>53.953094620000002</v>
      </c>
      <c r="E857">
        <v>390.35975139999999</v>
      </c>
      <c r="F857">
        <v>667.05576829999995</v>
      </c>
      <c r="G857">
        <v>180.27636530000001</v>
      </c>
      <c r="H857">
        <v>33.853844029999998</v>
      </c>
      <c r="I857" t="s">
        <v>16</v>
      </c>
      <c r="J857" s="1">
        <v>45539</v>
      </c>
    </row>
    <row r="858" spans="1:10" x14ac:dyDescent="0.3">
      <c r="A858">
        <v>739</v>
      </c>
      <c r="B858" t="s">
        <v>13</v>
      </c>
      <c r="C858" t="s">
        <v>19</v>
      </c>
      <c r="D858">
        <v>48.346009819999999</v>
      </c>
      <c r="E858">
        <v>596.67604630000005</v>
      </c>
      <c r="F858">
        <v>313.7486078</v>
      </c>
      <c r="G858">
        <v>221.6736416</v>
      </c>
      <c r="H858">
        <v>30.282900949999998</v>
      </c>
      <c r="I858" t="s">
        <v>16</v>
      </c>
      <c r="J858" s="1">
        <v>45665</v>
      </c>
    </row>
    <row r="859" spans="1:10" x14ac:dyDescent="0.3">
      <c r="A859">
        <v>547</v>
      </c>
      <c r="B859" t="s">
        <v>14</v>
      </c>
      <c r="D859">
        <v>33.011507999999999</v>
      </c>
      <c r="E859">
        <v>433.19293479999999</v>
      </c>
      <c r="F859">
        <v>408.30919619999997</v>
      </c>
      <c r="G859">
        <v>224.85774140000001</v>
      </c>
      <c r="H859">
        <v>26.868877019999999</v>
      </c>
      <c r="I859" t="s">
        <v>16</v>
      </c>
      <c r="J859" s="1">
        <v>45473</v>
      </c>
    </row>
    <row r="860" spans="1:10" x14ac:dyDescent="0.3">
      <c r="A860">
        <v>726</v>
      </c>
      <c r="B860" t="s">
        <v>43</v>
      </c>
      <c r="C860" t="s">
        <v>17</v>
      </c>
      <c r="D860">
        <v>47.447480579999997</v>
      </c>
      <c r="E860">
        <v>531.57252670000003</v>
      </c>
      <c r="F860">
        <v>525.33950649999997</v>
      </c>
      <c r="G860">
        <v>278.19500720000002</v>
      </c>
      <c r="H860">
        <v>33.727236410000003</v>
      </c>
      <c r="I860" t="s">
        <v>18</v>
      </c>
      <c r="J860" s="1">
        <v>45652</v>
      </c>
    </row>
    <row r="861" spans="1:10" x14ac:dyDescent="0.3">
      <c r="A861">
        <v>684</v>
      </c>
      <c r="B861" t="s">
        <v>14</v>
      </c>
      <c r="D861">
        <v>42.641415510000002</v>
      </c>
      <c r="E861">
        <v>503.10448980000001</v>
      </c>
      <c r="F861">
        <v>425.51597040000001</v>
      </c>
      <c r="G861">
        <v>197.04007129999999</v>
      </c>
      <c r="H861">
        <v>35.558110759999998</v>
      </c>
      <c r="I861" t="s">
        <v>16</v>
      </c>
      <c r="J861" s="1">
        <v>45610</v>
      </c>
    </row>
    <row r="862" spans="1:10" x14ac:dyDescent="0.3">
      <c r="A862">
        <v>99</v>
      </c>
      <c r="C862" t="s">
        <v>17</v>
      </c>
      <c r="D862">
        <v>33.67047719</v>
      </c>
      <c r="E862">
        <v>437.38099679999999</v>
      </c>
      <c r="F862">
        <v>434.7546997</v>
      </c>
      <c r="G862">
        <v>268.50218310000002</v>
      </c>
      <c r="H862">
        <v>27.653770810000001</v>
      </c>
      <c r="I862" t="s">
        <v>40</v>
      </c>
      <c r="J862" s="1">
        <v>45025</v>
      </c>
    </row>
    <row r="863" spans="1:10" x14ac:dyDescent="0.3">
      <c r="A863">
        <v>805</v>
      </c>
      <c r="B863" t="s">
        <v>10</v>
      </c>
      <c r="C863" t="s">
        <v>19</v>
      </c>
      <c r="D863">
        <v>33.936229939999997</v>
      </c>
      <c r="E863">
        <v>619.24965589999999</v>
      </c>
      <c r="F863">
        <v>514.60933780000005</v>
      </c>
      <c r="G863">
        <v>239.05869279999999</v>
      </c>
      <c r="H863">
        <v>45.44944804</v>
      </c>
      <c r="I863" t="s">
        <v>18</v>
      </c>
      <c r="J863" s="1">
        <v>45731</v>
      </c>
    </row>
    <row r="864" spans="1:10" x14ac:dyDescent="0.3">
      <c r="A864">
        <v>728</v>
      </c>
      <c r="B864" t="s">
        <v>12</v>
      </c>
      <c r="D864">
        <v>47.330852880000002</v>
      </c>
      <c r="E864">
        <v>449.62104160000001</v>
      </c>
      <c r="F864">
        <v>517.76475689999995</v>
      </c>
      <c r="G864">
        <v>160.56640340000001</v>
      </c>
      <c r="H864">
        <v>18.058537749999999</v>
      </c>
      <c r="I864" t="s">
        <v>44</v>
      </c>
      <c r="J864" s="1">
        <v>45654</v>
      </c>
    </row>
    <row r="865" spans="1:10" x14ac:dyDescent="0.3">
      <c r="A865">
        <v>574</v>
      </c>
      <c r="C865" t="s">
        <v>19</v>
      </c>
      <c r="D865">
        <v>41.139575460000003</v>
      </c>
      <c r="E865">
        <v>471.21069940000001</v>
      </c>
      <c r="F865">
        <v>511.62560889999997</v>
      </c>
      <c r="G865">
        <v>259.99377420000002</v>
      </c>
      <c r="H865">
        <v>36.119659089999999</v>
      </c>
      <c r="I865" t="s">
        <v>16</v>
      </c>
      <c r="J865" s="1">
        <v>45500</v>
      </c>
    </row>
    <row r="866" spans="1:10" x14ac:dyDescent="0.3">
      <c r="A866">
        <v>407</v>
      </c>
      <c r="B866" t="s">
        <v>14</v>
      </c>
      <c r="C866" t="s">
        <v>11</v>
      </c>
      <c r="D866">
        <v>62.078093080000002</v>
      </c>
      <c r="E866">
        <v>624.97807009999997</v>
      </c>
      <c r="F866">
        <v>670.01727330000006</v>
      </c>
      <c r="G866">
        <v>219.80996999999999</v>
      </c>
      <c r="H866">
        <v>33.100743899999998</v>
      </c>
      <c r="I866" t="s">
        <v>16</v>
      </c>
      <c r="J866" s="1">
        <v>45333</v>
      </c>
    </row>
    <row r="867" spans="1:10" x14ac:dyDescent="0.3">
      <c r="A867">
        <v>503</v>
      </c>
      <c r="B867" t="s">
        <v>13</v>
      </c>
      <c r="C867" t="s">
        <v>17</v>
      </c>
      <c r="D867">
        <v>39.611981720000003</v>
      </c>
      <c r="E867">
        <v>481.49592769999998</v>
      </c>
      <c r="F867">
        <v>456.26771459999998</v>
      </c>
      <c r="G867">
        <v>156.5373822</v>
      </c>
      <c r="H867">
        <v>31.076103660000001</v>
      </c>
      <c r="I867" t="s">
        <v>18</v>
      </c>
      <c r="J867" s="1">
        <v>45429</v>
      </c>
    </row>
    <row r="868" spans="1:10" x14ac:dyDescent="0.3">
      <c r="A868">
        <v>48</v>
      </c>
      <c r="B868" t="s">
        <v>10</v>
      </c>
      <c r="C868" t="s">
        <v>19</v>
      </c>
      <c r="D868">
        <v>67.8162509</v>
      </c>
      <c r="E868">
        <v>336.74415970000001</v>
      </c>
      <c r="F868">
        <v>532.0066339</v>
      </c>
      <c r="G868">
        <v>188.3847753</v>
      </c>
      <c r="H868">
        <v>34.854024260000003</v>
      </c>
      <c r="I868" t="s">
        <v>16</v>
      </c>
      <c r="J868" s="1">
        <v>44974</v>
      </c>
    </row>
    <row r="869" spans="1:10" x14ac:dyDescent="0.3">
      <c r="A869">
        <v>33</v>
      </c>
      <c r="B869" t="s">
        <v>14</v>
      </c>
      <c r="C869" t="s">
        <v>41</v>
      </c>
      <c r="D869">
        <v>48.269651209999999</v>
      </c>
      <c r="E869">
        <v>446.4386662</v>
      </c>
      <c r="F869">
        <v>270.6803137</v>
      </c>
      <c r="G869">
        <v>193.65596429999999</v>
      </c>
      <c r="H869">
        <v>27.230157259999999</v>
      </c>
      <c r="I869" t="s">
        <v>44</v>
      </c>
      <c r="J869" s="1">
        <v>44959</v>
      </c>
    </row>
    <row r="870" spans="1:10" x14ac:dyDescent="0.3">
      <c r="A870">
        <v>780</v>
      </c>
      <c r="B870" t="s">
        <v>10</v>
      </c>
      <c r="C870" t="s">
        <v>17</v>
      </c>
      <c r="D870">
        <v>51.501361160000002</v>
      </c>
      <c r="E870">
        <v>549.97664380000003</v>
      </c>
      <c r="F870">
        <v>561.54908220000004</v>
      </c>
      <c r="G870">
        <v>217.88613849999999</v>
      </c>
      <c r="H870">
        <v>31.921394169999999</v>
      </c>
      <c r="J870" s="1">
        <v>45706</v>
      </c>
    </row>
    <row r="871" spans="1:10" x14ac:dyDescent="0.3">
      <c r="A871">
        <v>840</v>
      </c>
      <c r="B871" t="s">
        <v>14</v>
      </c>
      <c r="C871" t="s">
        <v>15</v>
      </c>
      <c r="D871">
        <v>25.972460649999999</v>
      </c>
      <c r="E871">
        <v>578.13622220000002</v>
      </c>
      <c r="F871">
        <v>373.09324659999999</v>
      </c>
      <c r="G871">
        <v>180.71576680000001</v>
      </c>
      <c r="H871">
        <v>23.627404460000001</v>
      </c>
      <c r="I871" t="s">
        <v>16</v>
      </c>
      <c r="J871" s="1">
        <v>45766</v>
      </c>
    </row>
    <row r="872" spans="1:10" x14ac:dyDescent="0.3">
      <c r="A872">
        <v>201</v>
      </c>
      <c r="B872" t="s">
        <v>42</v>
      </c>
      <c r="C872" t="s">
        <v>11</v>
      </c>
      <c r="D872">
        <v>41.148365009999999</v>
      </c>
      <c r="E872">
        <v>433.78691550000002</v>
      </c>
      <c r="F872">
        <v>459.3662478</v>
      </c>
      <c r="G872">
        <v>187.50950499999999</v>
      </c>
      <c r="H872">
        <v>30.20307043</v>
      </c>
      <c r="I872" t="s">
        <v>40</v>
      </c>
      <c r="J872" s="1">
        <v>45127</v>
      </c>
    </row>
    <row r="873" spans="1:10" x14ac:dyDescent="0.3">
      <c r="A873">
        <v>135</v>
      </c>
      <c r="B873" t="s">
        <v>43</v>
      </c>
      <c r="C873" t="s">
        <v>41</v>
      </c>
      <c r="D873">
        <v>58.470790100000002</v>
      </c>
      <c r="E873">
        <v>359.54357429999999</v>
      </c>
      <c r="F873">
        <v>636.96142989999998</v>
      </c>
      <c r="G873">
        <v>203.97523659999999</v>
      </c>
      <c r="H873">
        <v>27.81396277</v>
      </c>
      <c r="I873" t="s">
        <v>18</v>
      </c>
      <c r="J873" s="1">
        <v>45061</v>
      </c>
    </row>
    <row r="874" spans="1:10" x14ac:dyDescent="0.3">
      <c r="A874">
        <v>28</v>
      </c>
      <c r="B874" t="s">
        <v>12</v>
      </c>
      <c r="C874" t="s">
        <v>17</v>
      </c>
      <c r="D874">
        <v>55.647010629999997</v>
      </c>
      <c r="E874">
        <v>425.29219210000002</v>
      </c>
      <c r="F874">
        <v>468.34581589999999</v>
      </c>
      <c r="G874">
        <v>217.8108355</v>
      </c>
      <c r="H874">
        <v>27.941392090000001</v>
      </c>
      <c r="J874" s="1">
        <v>44954</v>
      </c>
    </row>
    <row r="875" spans="1:10" x14ac:dyDescent="0.3">
      <c r="A875">
        <v>948</v>
      </c>
      <c r="B875" t="s">
        <v>12</v>
      </c>
      <c r="C875" t="s">
        <v>17</v>
      </c>
      <c r="D875">
        <v>38.53335285</v>
      </c>
      <c r="E875">
        <v>455.37573259999999</v>
      </c>
      <c r="F875">
        <v>611.24371689999998</v>
      </c>
      <c r="G875">
        <v>167.12931029999999</v>
      </c>
      <c r="H875">
        <v>27.332841269999999</v>
      </c>
      <c r="I875" t="s">
        <v>18</v>
      </c>
      <c r="J875" s="1">
        <v>45874</v>
      </c>
    </row>
    <row r="876" spans="1:10" x14ac:dyDescent="0.3">
      <c r="A876">
        <v>231</v>
      </c>
      <c r="B876" t="s">
        <v>13</v>
      </c>
      <c r="D876">
        <v>41.294273840000002</v>
      </c>
      <c r="E876">
        <v>443.62998249999998</v>
      </c>
      <c r="F876">
        <v>606.33498680000002</v>
      </c>
      <c r="G876">
        <v>114.5940303</v>
      </c>
      <c r="H876">
        <v>25.039782200000001</v>
      </c>
      <c r="I876" t="s">
        <v>16</v>
      </c>
      <c r="J876" s="1">
        <v>45157</v>
      </c>
    </row>
    <row r="877" spans="1:10" x14ac:dyDescent="0.3">
      <c r="A877">
        <v>490</v>
      </c>
      <c r="C877" t="s">
        <v>15</v>
      </c>
      <c r="D877">
        <v>46.685437020000002</v>
      </c>
      <c r="E877">
        <v>412.94828940000002</v>
      </c>
      <c r="F877">
        <v>495.87273490000001</v>
      </c>
      <c r="H877">
        <v>17.968809239999999</v>
      </c>
      <c r="I877" t="s">
        <v>18</v>
      </c>
      <c r="J877" s="1">
        <v>45416</v>
      </c>
    </row>
    <row r="878" spans="1:10" x14ac:dyDescent="0.3">
      <c r="A878">
        <v>773</v>
      </c>
      <c r="B878" t="s">
        <v>10</v>
      </c>
      <c r="D878">
        <v>57.236105870000003</v>
      </c>
      <c r="E878">
        <v>460.2295886</v>
      </c>
      <c r="F878">
        <v>479.6699711</v>
      </c>
      <c r="G878">
        <v>195.5938079</v>
      </c>
      <c r="H878">
        <v>30.64314345</v>
      </c>
      <c r="I878" t="s">
        <v>16</v>
      </c>
      <c r="J878" s="1">
        <v>45699</v>
      </c>
    </row>
    <row r="879" spans="1:10" x14ac:dyDescent="0.3">
      <c r="A879">
        <v>379</v>
      </c>
      <c r="B879" t="s">
        <v>10</v>
      </c>
      <c r="C879" t="s">
        <v>17</v>
      </c>
      <c r="D879">
        <v>21.117287950000001</v>
      </c>
      <c r="E879">
        <v>428.7505807</v>
      </c>
      <c r="F879">
        <v>551.84868189999997</v>
      </c>
      <c r="G879">
        <v>208.51010249999999</v>
      </c>
      <c r="H879">
        <v>29.642082640000002</v>
      </c>
      <c r="I879" t="s">
        <v>18</v>
      </c>
      <c r="J879" s="1">
        <v>45305</v>
      </c>
    </row>
    <row r="880" spans="1:10" x14ac:dyDescent="0.3">
      <c r="A880">
        <v>289</v>
      </c>
      <c r="D880">
        <v>35.643811720000002</v>
      </c>
      <c r="E880">
        <v>347.37290030000003</v>
      </c>
      <c r="F880">
        <v>555.40584430000001</v>
      </c>
      <c r="G880">
        <v>114.1469026</v>
      </c>
      <c r="H880">
        <v>31.992820330000001</v>
      </c>
      <c r="I880" t="s">
        <v>40</v>
      </c>
      <c r="J880" s="1">
        <v>45215</v>
      </c>
    </row>
    <row r="881" spans="1:10" x14ac:dyDescent="0.3">
      <c r="A881">
        <v>419</v>
      </c>
      <c r="B881" t="s">
        <v>43</v>
      </c>
      <c r="C881" t="s">
        <v>19</v>
      </c>
      <c r="D881">
        <v>40.058937669999999</v>
      </c>
      <c r="E881">
        <v>554.10567630000003</v>
      </c>
      <c r="F881">
        <v>345.87004150000001</v>
      </c>
      <c r="G881">
        <v>221.2797127</v>
      </c>
      <c r="H881">
        <v>26.85757147</v>
      </c>
      <c r="I881" t="s">
        <v>44</v>
      </c>
      <c r="J881" s="1">
        <v>45345</v>
      </c>
    </row>
    <row r="882" spans="1:10" x14ac:dyDescent="0.3">
      <c r="A882">
        <v>675</v>
      </c>
      <c r="C882" t="s">
        <v>11</v>
      </c>
      <c r="D882">
        <v>61.619338130000003</v>
      </c>
      <c r="E882">
        <v>401.21693190000002</v>
      </c>
      <c r="F882">
        <v>493.12891189999999</v>
      </c>
      <c r="G882">
        <v>231.99517</v>
      </c>
      <c r="H882">
        <v>29.575704779999999</v>
      </c>
      <c r="I882" t="s">
        <v>16</v>
      </c>
      <c r="J882" s="1">
        <v>45601</v>
      </c>
    </row>
    <row r="883" spans="1:10" x14ac:dyDescent="0.3">
      <c r="A883">
        <v>392</v>
      </c>
      <c r="B883" t="s">
        <v>13</v>
      </c>
      <c r="C883" t="s">
        <v>17</v>
      </c>
      <c r="D883">
        <v>42.932432429999999</v>
      </c>
      <c r="E883">
        <v>638.67580659999999</v>
      </c>
      <c r="F883">
        <v>338.58715840000002</v>
      </c>
      <c r="G883">
        <v>215.89541919999999</v>
      </c>
      <c r="H883">
        <v>26.655619829999999</v>
      </c>
      <c r="I883" t="s">
        <v>40</v>
      </c>
      <c r="J883" s="1">
        <v>45318</v>
      </c>
    </row>
    <row r="884" spans="1:10" x14ac:dyDescent="0.3">
      <c r="A884">
        <v>593</v>
      </c>
      <c r="B884" t="s">
        <v>12</v>
      </c>
      <c r="C884" t="s">
        <v>15</v>
      </c>
      <c r="D884">
        <v>44.722231360000002</v>
      </c>
      <c r="E884">
        <v>601.52280919999998</v>
      </c>
      <c r="F884">
        <v>258.31099390000003</v>
      </c>
      <c r="G884">
        <v>211.6435654</v>
      </c>
      <c r="H884">
        <v>29.85724008</v>
      </c>
      <c r="I884" t="s">
        <v>44</v>
      </c>
      <c r="J884" s="1">
        <v>45519</v>
      </c>
    </row>
    <row r="885" spans="1:10" x14ac:dyDescent="0.3">
      <c r="A885">
        <v>499</v>
      </c>
      <c r="B885" t="s">
        <v>12</v>
      </c>
      <c r="C885" t="s">
        <v>15</v>
      </c>
      <c r="D885">
        <v>62.137314379999999</v>
      </c>
      <c r="E885">
        <v>641.70204130000002</v>
      </c>
      <c r="F885">
        <v>514.34337110000001</v>
      </c>
      <c r="G885">
        <v>277.86884090000001</v>
      </c>
      <c r="H885">
        <v>26.511917749999999</v>
      </c>
      <c r="I885" t="s">
        <v>44</v>
      </c>
      <c r="J885" s="1">
        <v>45425</v>
      </c>
    </row>
    <row r="886" spans="1:10" x14ac:dyDescent="0.3">
      <c r="A886">
        <v>139</v>
      </c>
      <c r="B886" t="s">
        <v>14</v>
      </c>
      <c r="D886">
        <v>53.626556219999998</v>
      </c>
      <c r="E886">
        <v>460.33378399999998</v>
      </c>
      <c r="F886">
        <v>488.8121423</v>
      </c>
      <c r="G886">
        <v>189.69377460000001</v>
      </c>
      <c r="H886">
        <v>37.941470760000001</v>
      </c>
      <c r="J886" s="1">
        <v>45065</v>
      </c>
    </row>
    <row r="887" spans="1:10" x14ac:dyDescent="0.3">
      <c r="A887">
        <v>63</v>
      </c>
      <c r="B887" t="s">
        <v>12</v>
      </c>
      <c r="C887" t="s">
        <v>19</v>
      </c>
      <c r="D887">
        <v>68.119801240000001</v>
      </c>
      <c r="E887">
        <v>400.19701629999997</v>
      </c>
      <c r="F887">
        <v>384.93493130000002</v>
      </c>
      <c r="G887">
        <v>205.91059960000001</v>
      </c>
      <c r="H887">
        <v>29.138349219999998</v>
      </c>
      <c r="I887" t="s">
        <v>18</v>
      </c>
      <c r="J887" s="1">
        <v>44989</v>
      </c>
    </row>
    <row r="888" spans="1:10" x14ac:dyDescent="0.3">
      <c r="A888">
        <v>472</v>
      </c>
      <c r="B888" t="s">
        <v>43</v>
      </c>
      <c r="C888" t="s">
        <v>17</v>
      </c>
      <c r="D888">
        <v>62.246270869999996</v>
      </c>
      <c r="E888">
        <v>542.0452477</v>
      </c>
      <c r="F888">
        <v>625.00173810000001</v>
      </c>
      <c r="G888">
        <v>196.13912780000001</v>
      </c>
      <c r="H888">
        <v>26.384343510000001</v>
      </c>
      <c r="I888" t="s">
        <v>44</v>
      </c>
      <c r="J888" s="1">
        <v>45398</v>
      </c>
    </row>
    <row r="889" spans="1:10" x14ac:dyDescent="0.3">
      <c r="A889">
        <v>648</v>
      </c>
      <c r="B889" t="s">
        <v>42</v>
      </c>
      <c r="C889" t="s">
        <v>41</v>
      </c>
      <c r="D889">
        <v>44.581650119999999</v>
      </c>
      <c r="E889">
        <v>596.80064749999997</v>
      </c>
      <c r="F889">
        <v>571.10142029999997</v>
      </c>
      <c r="G889">
        <v>211.43315140000001</v>
      </c>
      <c r="H889">
        <v>32.508955839999999</v>
      </c>
      <c r="I889" t="s">
        <v>44</v>
      </c>
      <c r="J889" s="1">
        <v>45574</v>
      </c>
    </row>
    <row r="890" spans="1:10" x14ac:dyDescent="0.3">
      <c r="A890">
        <v>129</v>
      </c>
      <c r="B890" t="s">
        <v>13</v>
      </c>
      <c r="C890" t="s">
        <v>11</v>
      </c>
      <c r="D890">
        <v>47.407495570000002</v>
      </c>
      <c r="E890">
        <v>540.79250179999997</v>
      </c>
      <c r="F890">
        <v>560.75318449999997</v>
      </c>
      <c r="G890">
        <v>179.6309316</v>
      </c>
      <c r="H890">
        <v>30.714748050000001</v>
      </c>
      <c r="I890" t="s">
        <v>40</v>
      </c>
      <c r="J890" s="1">
        <v>45055</v>
      </c>
    </row>
    <row r="891" spans="1:10" x14ac:dyDescent="0.3">
      <c r="A891">
        <v>997</v>
      </c>
      <c r="B891" t="s">
        <v>14</v>
      </c>
      <c r="C891" t="s">
        <v>19</v>
      </c>
      <c r="D891">
        <v>43.345145850000002</v>
      </c>
      <c r="F891">
        <v>517.73753669999996</v>
      </c>
      <c r="G891">
        <v>219.45849050000001</v>
      </c>
      <c r="H891">
        <v>28.53962349</v>
      </c>
      <c r="I891" t="s">
        <v>16</v>
      </c>
      <c r="J891" s="1">
        <v>45923</v>
      </c>
    </row>
    <row r="892" spans="1:10" x14ac:dyDescent="0.3">
      <c r="A892">
        <v>521</v>
      </c>
      <c r="B892" t="s">
        <v>10</v>
      </c>
      <c r="C892" t="s">
        <v>15</v>
      </c>
      <c r="D892">
        <v>53.2865216</v>
      </c>
      <c r="E892">
        <v>452.09489430000002</v>
      </c>
      <c r="F892">
        <v>439.94653549999998</v>
      </c>
      <c r="G892">
        <v>226.02439219999999</v>
      </c>
      <c r="H892">
        <v>34.786169039999997</v>
      </c>
    </row>
    <row r="893" spans="1:10" x14ac:dyDescent="0.3">
      <c r="A893">
        <v>839</v>
      </c>
      <c r="C893" t="s">
        <v>41</v>
      </c>
      <c r="D893">
        <v>47.434120700000001</v>
      </c>
      <c r="E893">
        <v>357.36210779999999</v>
      </c>
      <c r="F893">
        <v>403.29233260000001</v>
      </c>
      <c r="G893">
        <v>105.4048049</v>
      </c>
      <c r="H893">
        <v>34.245713029999997</v>
      </c>
      <c r="I893" t="s">
        <v>18</v>
      </c>
      <c r="J893" s="1">
        <v>45765</v>
      </c>
    </row>
    <row r="894" spans="1:10" x14ac:dyDescent="0.3">
      <c r="A894">
        <v>983</v>
      </c>
      <c r="B894" t="s">
        <v>12</v>
      </c>
      <c r="D894">
        <v>52.918617619999999</v>
      </c>
      <c r="E894">
        <v>335.09665649999999</v>
      </c>
      <c r="F894">
        <v>600.96048050000002</v>
      </c>
      <c r="G894">
        <v>196.250519</v>
      </c>
      <c r="H894">
        <v>33.731242700000003</v>
      </c>
      <c r="J894" s="1">
        <v>45909</v>
      </c>
    </row>
    <row r="895" spans="1:10" x14ac:dyDescent="0.3">
      <c r="A895">
        <v>65</v>
      </c>
      <c r="B895" t="s">
        <v>12</v>
      </c>
      <c r="D895">
        <v>53.93263151</v>
      </c>
      <c r="E895">
        <v>587.2919187</v>
      </c>
      <c r="F895">
        <v>529.29146270000001</v>
      </c>
      <c r="G895">
        <v>258.87723620000003</v>
      </c>
      <c r="H895">
        <v>25.094481429999998</v>
      </c>
      <c r="I895" t="s">
        <v>18</v>
      </c>
      <c r="J895" s="1">
        <v>44991</v>
      </c>
    </row>
    <row r="896" spans="1:10" x14ac:dyDescent="0.3">
      <c r="A896">
        <v>813</v>
      </c>
      <c r="B896" t="s">
        <v>42</v>
      </c>
      <c r="C896" t="s">
        <v>19</v>
      </c>
      <c r="D896">
        <v>57.34304676</v>
      </c>
      <c r="E896">
        <v>434.03977309999999</v>
      </c>
      <c r="F896">
        <v>508.24659129999998</v>
      </c>
      <c r="G896">
        <v>179.78772000000001</v>
      </c>
      <c r="H896">
        <v>18.652510679999999</v>
      </c>
      <c r="I896" t="s">
        <v>16</v>
      </c>
      <c r="J896" s="1">
        <v>45739</v>
      </c>
    </row>
    <row r="897" spans="1:10" x14ac:dyDescent="0.3">
      <c r="A897">
        <v>15</v>
      </c>
      <c r="B897" t="s">
        <v>10</v>
      </c>
      <c r="D897">
        <v>40.556312220000002</v>
      </c>
      <c r="E897">
        <v>541.46985289999998</v>
      </c>
      <c r="F897">
        <v>446.72207320000001</v>
      </c>
      <c r="G897">
        <v>142.49139700000001</v>
      </c>
      <c r="H897">
        <v>35.293903370000002</v>
      </c>
      <c r="J897" s="1">
        <v>44941</v>
      </c>
    </row>
    <row r="898" spans="1:10" x14ac:dyDescent="0.3">
      <c r="A898">
        <v>157</v>
      </c>
      <c r="B898" t="s">
        <v>43</v>
      </c>
      <c r="C898" t="s">
        <v>17</v>
      </c>
      <c r="D898">
        <v>28.990811390000001</v>
      </c>
      <c r="E898">
        <v>412.15171629999998</v>
      </c>
      <c r="F898">
        <v>435.16055060000002</v>
      </c>
      <c r="G898">
        <v>260.60793439999998</v>
      </c>
      <c r="H898">
        <v>32.260320049999997</v>
      </c>
      <c r="J898" s="1">
        <v>45083</v>
      </c>
    </row>
    <row r="899" spans="1:10" x14ac:dyDescent="0.3">
      <c r="A899">
        <v>41</v>
      </c>
      <c r="B899" t="s">
        <v>42</v>
      </c>
      <c r="C899" t="s">
        <v>11</v>
      </c>
      <c r="D899">
        <v>49.758230230000002</v>
      </c>
      <c r="E899">
        <v>558.45032160000005</v>
      </c>
      <c r="F899">
        <v>297.53504190000001</v>
      </c>
      <c r="G899">
        <v>200.2300544</v>
      </c>
      <c r="H899">
        <v>40.215129009999998</v>
      </c>
      <c r="I899" t="s">
        <v>18</v>
      </c>
      <c r="J899" s="1">
        <v>44967</v>
      </c>
    </row>
    <row r="900" spans="1:10" x14ac:dyDescent="0.3">
      <c r="A900">
        <v>493</v>
      </c>
      <c r="B900" t="s">
        <v>42</v>
      </c>
      <c r="C900" t="s">
        <v>17</v>
      </c>
      <c r="D900">
        <v>36.594468200000001</v>
      </c>
      <c r="E900">
        <v>661.49768189999998</v>
      </c>
      <c r="F900">
        <v>334.04090009999999</v>
      </c>
      <c r="G900">
        <v>173.07692700000001</v>
      </c>
      <c r="H900">
        <v>23.429146200000002</v>
      </c>
      <c r="I900" t="s">
        <v>18</v>
      </c>
      <c r="J900" s="1">
        <v>45419</v>
      </c>
    </row>
    <row r="901" spans="1:10" x14ac:dyDescent="0.3">
      <c r="A901">
        <v>380</v>
      </c>
      <c r="B901" t="s">
        <v>13</v>
      </c>
      <c r="C901" t="s">
        <v>19</v>
      </c>
      <c r="D901">
        <v>52.932693139999998</v>
      </c>
      <c r="E901">
        <v>644.44203879999998</v>
      </c>
      <c r="F901">
        <v>369.57137640000002</v>
      </c>
      <c r="G901">
        <v>247.76619009999999</v>
      </c>
      <c r="H901">
        <v>35.657892259999997</v>
      </c>
      <c r="I901" t="s">
        <v>44</v>
      </c>
      <c r="J901" s="1">
        <v>45306</v>
      </c>
    </row>
    <row r="902" spans="1:10" x14ac:dyDescent="0.3">
      <c r="A902">
        <v>188</v>
      </c>
      <c r="D902">
        <v>211.01235869999999</v>
      </c>
      <c r="E902">
        <v>406.37113679999999</v>
      </c>
      <c r="F902">
        <v>406.79724270000003</v>
      </c>
      <c r="G902">
        <v>64.337868290000003</v>
      </c>
      <c r="H902">
        <v>21.7165374</v>
      </c>
      <c r="I902" t="s">
        <v>40</v>
      </c>
      <c r="J902" s="1">
        <v>45114</v>
      </c>
    </row>
    <row r="903" spans="1:10" x14ac:dyDescent="0.3">
      <c r="A903">
        <v>764</v>
      </c>
      <c r="B903" t="s">
        <v>43</v>
      </c>
      <c r="C903" t="s">
        <v>11</v>
      </c>
      <c r="D903">
        <v>55.242646780000001</v>
      </c>
      <c r="E903">
        <v>372.3227048</v>
      </c>
      <c r="F903">
        <v>421.82511879999998</v>
      </c>
      <c r="G903">
        <v>186.3249509</v>
      </c>
      <c r="H903">
        <v>32.744179420000002</v>
      </c>
      <c r="I903" t="s">
        <v>44</v>
      </c>
      <c r="J903" s="1">
        <v>45690</v>
      </c>
    </row>
    <row r="904" spans="1:10" x14ac:dyDescent="0.3">
      <c r="A904">
        <v>217</v>
      </c>
      <c r="C904" t="s">
        <v>41</v>
      </c>
      <c r="D904">
        <v>38.432557750000001</v>
      </c>
      <c r="E904">
        <v>533.00650010000004</v>
      </c>
      <c r="F904">
        <v>571.35666760000004</v>
      </c>
      <c r="G904">
        <v>222.9890292</v>
      </c>
      <c r="H904">
        <v>23.889119669999999</v>
      </c>
      <c r="J904" s="1">
        <v>45143</v>
      </c>
    </row>
    <row r="905" spans="1:10" x14ac:dyDescent="0.3">
      <c r="A905">
        <v>792</v>
      </c>
      <c r="B905" t="s">
        <v>12</v>
      </c>
      <c r="C905" t="s">
        <v>19</v>
      </c>
      <c r="D905">
        <v>57.505868540000002</v>
      </c>
      <c r="E905">
        <v>485.09948009999999</v>
      </c>
      <c r="F905">
        <v>425.54490179999999</v>
      </c>
      <c r="G905">
        <v>301.38698470000003</v>
      </c>
      <c r="H905">
        <v>24.467627220000001</v>
      </c>
      <c r="I905" t="s">
        <v>44</v>
      </c>
      <c r="J905" s="1">
        <v>45718</v>
      </c>
    </row>
    <row r="906" spans="1:10" x14ac:dyDescent="0.3">
      <c r="A906">
        <v>53</v>
      </c>
      <c r="D906">
        <v>48.209880329999997</v>
      </c>
      <c r="E906">
        <v>503.01907870000002</v>
      </c>
      <c r="F906">
        <v>350.632542</v>
      </c>
      <c r="G906">
        <v>319.53830820000002</v>
      </c>
      <c r="H906">
        <v>26.656241430000001</v>
      </c>
      <c r="I906" t="s">
        <v>40</v>
      </c>
      <c r="J906" s="1">
        <v>44979</v>
      </c>
    </row>
    <row r="907" spans="1:10" x14ac:dyDescent="0.3">
      <c r="A907">
        <v>879</v>
      </c>
      <c r="B907" t="s">
        <v>13</v>
      </c>
      <c r="C907" t="s">
        <v>19</v>
      </c>
      <c r="D907">
        <v>57.720215619999998</v>
      </c>
      <c r="E907">
        <v>370.84743980000002</v>
      </c>
      <c r="F907">
        <v>426.82861509999998</v>
      </c>
      <c r="G907">
        <v>159.47557090000001</v>
      </c>
      <c r="H907">
        <v>39.171010180000003</v>
      </c>
      <c r="J907" s="1">
        <v>45805</v>
      </c>
    </row>
    <row r="908" spans="1:10" x14ac:dyDescent="0.3">
      <c r="A908">
        <v>338</v>
      </c>
      <c r="C908" t="s">
        <v>17</v>
      </c>
      <c r="D908">
        <v>41.102538979999999</v>
      </c>
      <c r="E908">
        <v>557.96432289999996</v>
      </c>
      <c r="F908">
        <v>284.0876705</v>
      </c>
      <c r="G908">
        <v>143.99082809999999</v>
      </c>
      <c r="H908">
        <v>24.5344622</v>
      </c>
      <c r="I908" t="s">
        <v>18</v>
      </c>
      <c r="J908" s="1">
        <v>45264</v>
      </c>
    </row>
    <row r="909" spans="1:10" x14ac:dyDescent="0.3">
      <c r="A909">
        <v>749</v>
      </c>
      <c r="B909" t="s">
        <v>42</v>
      </c>
      <c r="C909" t="s">
        <v>11</v>
      </c>
      <c r="D909">
        <v>43.37286228</v>
      </c>
      <c r="E909">
        <v>479.3519015</v>
      </c>
      <c r="F909">
        <v>315.80772739999998</v>
      </c>
      <c r="G909">
        <v>193.8474205</v>
      </c>
      <c r="H909">
        <v>24.09356597</v>
      </c>
      <c r="I909" t="s">
        <v>44</v>
      </c>
      <c r="J909" s="1">
        <v>45675</v>
      </c>
    </row>
    <row r="910" spans="1:10" x14ac:dyDescent="0.3">
      <c r="A910">
        <v>720</v>
      </c>
      <c r="B910" t="s">
        <v>43</v>
      </c>
      <c r="C910" t="s">
        <v>41</v>
      </c>
      <c r="D910">
        <v>50.058105589999997</v>
      </c>
      <c r="E910">
        <v>564.46282459999998</v>
      </c>
      <c r="F910">
        <v>505.39204569999998</v>
      </c>
      <c r="G910">
        <v>210.14720249999999</v>
      </c>
      <c r="H910">
        <v>30.042940689999998</v>
      </c>
      <c r="I910" t="s">
        <v>18</v>
      </c>
      <c r="J910" s="1">
        <v>45646</v>
      </c>
    </row>
    <row r="911" spans="1:10" x14ac:dyDescent="0.3">
      <c r="A911">
        <v>725</v>
      </c>
      <c r="D911">
        <v>38.109887180000001</v>
      </c>
      <c r="E911">
        <v>536.86008289999995</v>
      </c>
      <c r="F911">
        <v>525.45726349999995</v>
      </c>
      <c r="G911">
        <v>251.62784060000001</v>
      </c>
      <c r="H911">
        <v>30.817158800000001</v>
      </c>
      <c r="I911" t="s">
        <v>40</v>
      </c>
      <c r="J911" s="1">
        <v>45651</v>
      </c>
    </row>
    <row r="912" spans="1:10" x14ac:dyDescent="0.3">
      <c r="A912">
        <v>296</v>
      </c>
      <c r="B912" t="s">
        <v>13</v>
      </c>
      <c r="C912" t="s">
        <v>11</v>
      </c>
      <c r="D912">
        <v>55.633454630000003</v>
      </c>
      <c r="E912">
        <v>763.42220440000006</v>
      </c>
      <c r="F912">
        <v>509.3783249</v>
      </c>
      <c r="G912">
        <v>209.9397294</v>
      </c>
      <c r="H912">
        <v>30.839066219999999</v>
      </c>
      <c r="I912" t="s">
        <v>18</v>
      </c>
      <c r="J912" s="1">
        <v>45222</v>
      </c>
    </row>
    <row r="913" spans="1:10" x14ac:dyDescent="0.3">
      <c r="A913">
        <v>702</v>
      </c>
      <c r="B913" t="s">
        <v>13</v>
      </c>
      <c r="C913" t="s">
        <v>19</v>
      </c>
      <c r="D913">
        <v>51.177212169999997</v>
      </c>
      <c r="E913">
        <v>561.78747999999996</v>
      </c>
      <c r="F913">
        <v>520.87849640000002</v>
      </c>
      <c r="G913">
        <v>227.83679190000001</v>
      </c>
      <c r="H913">
        <v>32.815992020000003</v>
      </c>
      <c r="I913" t="s">
        <v>44</v>
      </c>
      <c r="J913" s="1">
        <v>45628</v>
      </c>
    </row>
    <row r="914" spans="1:10" x14ac:dyDescent="0.3">
      <c r="A914">
        <v>252</v>
      </c>
      <c r="B914" t="s">
        <v>12</v>
      </c>
      <c r="C914" t="s">
        <v>11</v>
      </c>
      <c r="D914">
        <v>50.636883939999997</v>
      </c>
      <c r="E914">
        <v>583.0852324</v>
      </c>
      <c r="F914">
        <v>682.61305870000001</v>
      </c>
      <c r="G914">
        <v>203.69663940000001</v>
      </c>
      <c r="H914">
        <v>37.194131900000002</v>
      </c>
      <c r="I914" t="s">
        <v>16</v>
      </c>
      <c r="J914" s="1">
        <v>45178</v>
      </c>
    </row>
    <row r="915" spans="1:10" x14ac:dyDescent="0.3">
      <c r="A915">
        <v>727</v>
      </c>
      <c r="B915" t="s">
        <v>43</v>
      </c>
      <c r="C915" t="s">
        <v>41</v>
      </c>
      <c r="D915">
        <v>50.327244919999998</v>
      </c>
      <c r="E915">
        <v>490.26631809999998</v>
      </c>
      <c r="F915">
        <v>408.83134389999998</v>
      </c>
      <c r="G915">
        <v>141.2962934</v>
      </c>
      <c r="H915">
        <v>30.192492430000001</v>
      </c>
      <c r="I915" t="s">
        <v>16</v>
      </c>
      <c r="J915" s="1">
        <v>45653</v>
      </c>
    </row>
    <row r="916" spans="1:10" x14ac:dyDescent="0.3">
      <c r="A916">
        <v>462</v>
      </c>
      <c r="B916" t="s">
        <v>12</v>
      </c>
      <c r="C916" t="s">
        <v>19</v>
      </c>
      <c r="D916">
        <v>42.921473229999997</v>
      </c>
      <c r="E916">
        <v>572.47238579999998</v>
      </c>
      <c r="F916">
        <v>351.61256049999997</v>
      </c>
      <c r="G916">
        <v>246.02991209999999</v>
      </c>
      <c r="H916">
        <v>30.983711620000001</v>
      </c>
      <c r="I916" t="s">
        <v>16</v>
      </c>
      <c r="J916" s="1">
        <v>45388</v>
      </c>
    </row>
    <row r="917" spans="1:10" x14ac:dyDescent="0.3">
      <c r="A917">
        <v>456</v>
      </c>
      <c r="B917" t="s">
        <v>13</v>
      </c>
      <c r="C917" t="s">
        <v>17</v>
      </c>
      <c r="D917">
        <v>36.720819280000001</v>
      </c>
      <c r="E917">
        <v>592.60623780000003</v>
      </c>
      <c r="F917">
        <v>536.71956669999997</v>
      </c>
      <c r="G917">
        <v>211.50505870000001</v>
      </c>
      <c r="H917">
        <v>24.376724800000002</v>
      </c>
      <c r="J917" s="1">
        <v>45382</v>
      </c>
    </row>
    <row r="918" spans="1:10" x14ac:dyDescent="0.3">
      <c r="A918">
        <v>105</v>
      </c>
      <c r="B918" t="s">
        <v>42</v>
      </c>
      <c r="D918">
        <v>63.768034929999999</v>
      </c>
      <c r="E918">
        <v>472.70245999999997</v>
      </c>
      <c r="F918">
        <v>481.70929969999997</v>
      </c>
      <c r="G918">
        <v>211.0404254</v>
      </c>
      <c r="H918">
        <v>25.631026890000001</v>
      </c>
      <c r="I918" t="s">
        <v>40</v>
      </c>
      <c r="J918" s="1">
        <v>45031</v>
      </c>
    </row>
    <row r="919" spans="1:10" x14ac:dyDescent="0.3">
      <c r="A919">
        <v>816</v>
      </c>
      <c r="B919" t="s">
        <v>12</v>
      </c>
      <c r="D919">
        <v>45.328965930000003</v>
      </c>
      <c r="E919">
        <v>476.90897460000002</v>
      </c>
      <c r="G919">
        <v>201.32766770000001</v>
      </c>
      <c r="H919">
        <v>31.695887899999999</v>
      </c>
      <c r="I919" t="s">
        <v>44</v>
      </c>
      <c r="J919" s="1">
        <v>45742</v>
      </c>
    </row>
    <row r="920" spans="1:10" x14ac:dyDescent="0.3">
      <c r="A920">
        <v>863</v>
      </c>
      <c r="B920" t="s">
        <v>43</v>
      </c>
      <c r="C920" t="s">
        <v>15</v>
      </c>
      <c r="D920">
        <v>53.773507029999998</v>
      </c>
      <c r="E920">
        <v>472.68776480000002</v>
      </c>
      <c r="F920">
        <v>528.41627019999999</v>
      </c>
      <c r="G920">
        <v>182.9211684</v>
      </c>
      <c r="H920">
        <v>29.377387880000001</v>
      </c>
      <c r="J920" s="1">
        <v>45789</v>
      </c>
    </row>
    <row r="921" spans="1:10" x14ac:dyDescent="0.3">
      <c r="A921">
        <v>270</v>
      </c>
      <c r="B921" t="s">
        <v>12</v>
      </c>
      <c r="D921">
        <v>41.718060190000003</v>
      </c>
      <c r="E921">
        <v>451.34201089999999</v>
      </c>
      <c r="F921">
        <v>544.0182092</v>
      </c>
      <c r="G921">
        <v>197.97246920000001</v>
      </c>
      <c r="H921">
        <v>28.029221140000001</v>
      </c>
      <c r="I921" t="s">
        <v>16</v>
      </c>
      <c r="J921" s="1">
        <v>45196</v>
      </c>
    </row>
    <row r="922" spans="1:10" x14ac:dyDescent="0.3">
      <c r="A922">
        <v>202</v>
      </c>
      <c r="B922" t="s">
        <v>14</v>
      </c>
      <c r="C922" t="s">
        <v>17</v>
      </c>
      <c r="D922">
        <v>65.52561815</v>
      </c>
      <c r="E922">
        <v>440.21916140000002</v>
      </c>
      <c r="F922">
        <v>459.63982090000002</v>
      </c>
      <c r="G922">
        <v>215.93983460000001</v>
      </c>
      <c r="H922">
        <v>37.162930590000002</v>
      </c>
      <c r="I922" t="s">
        <v>40</v>
      </c>
      <c r="J922" s="1">
        <v>45128</v>
      </c>
    </row>
    <row r="923" spans="1:10" x14ac:dyDescent="0.3">
      <c r="A923">
        <v>162</v>
      </c>
      <c r="B923" t="s">
        <v>43</v>
      </c>
      <c r="C923" t="s">
        <v>19</v>
      </c>
      <c r="E923">
        <v>386.61844050000002</v>
      </c>
      <c r="F923">
        <v>417.60298940000001</v>
      </c>
      <c r="G923">
        <v>145.28176010000001</v>
      </c>
      <c r="H923">
        <v>25.848916410000001</v>
      </c>
      <c r="J923" s="1">
        <v>45088</v>
      </c>
    </row>
    <row r="924" spans="1:10" x14ac:dyDescent="0.3">
      <c r="A924">
        <v>556</v>
      </c>
      <c r="B924" t="s">
        <v>43</v>
      </c>
      <c r="D924">
        <v>47.039827729999999</v>
      </c>
      <c r="E924">
        <v>501.43320599999998</v>
      </c>
      <c r="F924">
        <v>436.05099630000001</v>
      </c>
      <c r="G924">
        <v>170.46627190000001</v>
      </c>
      <c r="H924">
        <v>30.309540519999999</v>
      </c>
      <c r="J924" s="1">
        <v>45482</v>
      </c>
    </row>
    <row r="925" spans="1:10" x14ac:dyDescent="0.3">
      <c r="A925">
        <v>730</v>
      </c>
      <c r="C925" t="s">
        <v>41</v>
      </c>
      <c r="D925">
        <v>52.239552779999997</v>
      </c>
      <c r="E925">
        <v>440.24313640000003</v>
      </c>
      <c r="F925">
        <v>592.47927500000003</v>
      </c>
      <c r="G925">
        <v>256.51098860000002</v>
      </c>
      <c r="H925">
        <v>40.350131910000002</v>
      </c>
      <c r="I925" t="s">
        <v>16</v>
      </c>
      <c r="J925" s="1">
        <v>45656</v>
      </c>
    </row>
    <row r="926" spans="1:10" x14ac:dyDescent="0.3">
      <c r="B926" t="s">
        <v>10</v>
      </c>
      <c r="C926" t="s">
        <v>41</v>
      </c>
      <c r="D926">
        <v>47.910395129999998</v>
      </c>
      <c r="E926">
        <v>693.47059979999995</v>
      </c>
      <c r="F926">
        <v>397.68023499999998</v>
      </c>
      <c r="G926">
        <v>75.382843600000001</v>
      </c>
      <c r="H926">
        <v>25.509153080000001</v>
      </c>
      <c r="I926" t="s">
        <v>18</v>
      </c>
      <c r="J926" s="1">
        <v>45328</v>
      </c>
    </row>
    <row r="927" spans="1:10" x14ac:dyDescent="0.3">
      <c r="A927">
        <v>703</v>
      </c>
      <c r="B927" t="s">
        <v>10</v>
      </c>
      <c r="C927" t="s">
        <v>17</v>
      </c>
      <c r="D927">
        <v>59.82573464</v>
      </c>
      <c r="E927">
        <v>604.45139859999995</v>
      </c>
      <c r="F927">
        <v>624.36574229999997</v>
      </c>
      <c r="G927">
        <v>146.25176859999999</v>
      </c>
      <c r="H927">
        <v>38.863033340000001</v>
      </c>
      <c r="J927" s="1">
        <v>45629</v>
      </c>
    </row>
    <row r="928" spans="1:10" x14ac:dyDescent="0.3">
      <c r="A928">
        <v>477</v>
      </c>
      <c r="B928" t="s">
        <v>10</v>
      </c>
      <c r="C928" t="s">
        <v>15</v>
      </c>
      <c r="D928">
        <v>57.458012510000003</v>
      </c>
      <c r="E928">
        <v>339.45349099999999</v>
      </c>
      <c r="F928">
        <v>628.93768130000001</v>
      </c>
      <c r="G928">
        <v>215.54290950000001</v>
      </c>
      <c r="H928">
        <v>32.93398689</v>
      </c>
      <c r="I928" t="s">
        <v>18</v>
      </c>
      <c r="J928" s="1">
        <v>45403</v>
      </c>
    </row>
    <row r="929" spans="1:10" x14ac:dyDescent="0.3">
      <c r="A929">
        <v>822</v>
      </c>
      <c r="B929" t="s">
        <v>43</v>
      </c>
      <c r="D929">
        <v>56.419305350000002</v>
      </c>
      <c r="E929">
        <v>423.88136150000003</v>
      </c>
      <c r="F929">
        <v>442.56155899999999</v>
      </c>
      <c r="G929">
        <v>183.61314250000001</v>
      </c>
      <c r="H929">
        <v>31.28766577</v>
      </c>
      <c r="J929" s="1">
        <v>45748</v>
      </c>
    </row>
    <row r="930" spans="1:10" x14ac:dyDescent="0.3">
      <c r="A930">
        <v>772</v>
      </c>
      <c r="B930" t="s">
        <v>43</v>
      </c>
      <c r="C930" t="s">
        <v>15</v>
      </c>
      <c r="D930">
        <v>36.832511529999998</v>
      </c>
      <c r="E930">
        <v>537.34932690000005</v>
      </c>
      <c r="F930">
        <v>279.3300271</v>
      </c>
      <c r="G930">
        <v>299.84251089999998</v>
      </c>
      <c r="H930">
        <v>31.33615975</v>
      </c>
      <c r="I930" t="s">
        <v>16</v>
      </c>
      <c r="J930" s="1">
        <v>45698</v>
      </c>
    </row>
    <row r="931" spans="1:10" x14ac:dyDescent="0.3">
      <c r="A931">
        <v>106</v>
      </c>
      <c r="B931" t="s">
        <v>43</v>
      </c>
      <c r="C931" t="s">
        <v>17</v>
      </c>
      <c r="D931">
        <v>57.770160959999998</v>
      </c>
      <c r="E931">
        <v>422.24609600000002</v>
      </c>
      <c r="F931">
        <v>290.83779490000001</v>
      </c>
      <c r="G931">
        <v>149.4888799</v>
      </c>
      <c r="H931">
        <v>34.813401169999999</v>
      </c>
      <c r="I931" t="s">
        <v>18</v>
      </c>
      <c r="J931" s="1">
        <v>45032</v>
      </c>
    </row>
    <row r="932" spans="1:10" x14ac:dyDescent="0.3">
      <c r="A932">
        <v>566</v>
      </c>
      <c r="B932" t="s">
        <v>13</v>
      </c>
      <c r="C932" t="s">
        <v>15</v>
      </c>
      <c r="D932">
        <v>63.124086220000002</v>
      </c>
      <c r="E932">
        <v>553.4778546</v>
      </c>
      <c r="F932">
        <v>445.9578368</v>
      </c>
      <c r="G932">
        <v>220.75883010000001</v>
      </c>
      <c r="H932">
        <v>34.294473979999999</v>
      </c>
      <c r="I932" t="s">
        <v>40</v>
      </c>
      <c r="J932" s="1">
        <v>45492</v>
      </c>
    </row>
    <row r="933" spans="1:10" x14ac:dyDescent="0.3">
      <c r="A933">
        <v>390</v>
      </c>
      <c r="B933" t="s">
        <v>13</v>
      </c>
      <c r="C933" t="s">
        <v>15</v>
      </c>
      <c r="D933">
        <v>45.890688439999998</v>
      </c>
      <c r="E933">
        <v>526.90240679999999</v>
      </c>
      <c r="F933">
        <v>410.51455970000001</v>
      </c>
      <c r="G933">
        <v>194.6002675</v>
      </c>
      <c r="H933">
        <v>28.49563977</v>
      </c>
      <c r="I933" t="s">
        <v>16</v>
      </c>
      <c r="J933" s="1">
        <v>45316</v>
      </c>
    </row>
    <row r="934" spans="1:10" x14ac:dyDescent="0.3">
      <c r="A934">
        <v>2</v>
      </c>
      <c r="B934" t="s">
        <v>10</v>
      </c>
      <c r="C934" t="s">
        <v>15</v>
      </c>
      <c r="D934">
        <v>43.308789189999999</v>
      </c>
      <c r="E934">
        <v>539.05228980000004</v>
      </c>
      <c r="F934">
        <v>420.86937469999998</v>
      </c>
      <c r="G934">
        <v>106.1640635</v>
      </c>
      <c r="H934">
        <v>36.416895830000001</v>
      </c>
      <c r="I934" t="s">
        <v>44</v>
      </c>
      <c r="J934" s="1">
        <v>44928</v>
      </c>
    </row>
    <row r="935" spans="1:10" x14ac:dyDescent="0.3">
      <c r="A935">
        <v>991</v>
      </c>
      <c r="B935" t="s">
        <v>13</v>
      </c>
      <c r="D935">
        <v>34.754787129999997</v>
      </c>
      <c r="E935">
        <v>556.60859830000004</v>
      </c>
      <c r="F935">
        <v>491.63642119999997</v>
      </c>
      <c r="G935">
        <v>248.47740329999999</v>
      </c>
      <c r="H935">
        <v>36.787306829999999</v>
      </c>
      <c r="I935" t="s">
        <v>16</v>
      </c>
      <c r="J935" s="1">
        <v>45917</v>
      </c>
    </row>
    <row r="936" spans="1:10" x14ac:dyDescent="0.3">
      <c r="A936">
        <v>453</v>
      </c>
      <c r="B936" t="s">
        <v>14</v>
      </c>
      <c r="C936" t="s">
        <v>15</v>
      </c>
      <c r="D936">
        <v>41.975072670000003</v>
      </c>
      <c r="E936">
        <v>618.99113969999996</v>
      </c>
      <c r="F936">
        <v>796.02455280000004</v>
      </c>
      <c r="G936">
        <v>162.648034</v>
      </c>
      <c r="H936">
        <v>28.224417169999999</v>
      </c>
      <c r="J936" s="1">
        <v>45379</v>
      </c>
    </row>
    <row r="937" spans="1:10" x14ac:dyDescent="0.3">
      <c r="A937">
        <v>562</v>
      </c>
      <c r="C937" t="s">
        <v>41</v>
      </c>
      <c r="D937">
        <v>59.564403480000003</v>
      </c>
      <c r="E937">
        <v>659.09049049999999</v>
      </c>
      <c r="F937">
        <v>480.74536269999999</v>
      </c>
      <c r="G937">
        <v>227.08228439999999</v>
      </c>
      <c r="H937">
        <v>29.4788101</v>
      </c>
      <c r="I937" t="s">
        <v>44</v>
      </c>
      <c r="J937" s="1">
        <v>45488</v>
      </c>
    </row>
    <row r="938" spans="1:10" x14ac:dyDescent="0.3">
      <c r="A938">
        <v>932</v>
      </c>
      <c r="B938" t="s">
        <v>12</v>
      </c>
      <c r="C938" t="s">
        <v>15</v>
      </c>
      <c r="D938">
        <v>37.855407190000001</v>
      </c>
      <c r="E938">
        <v>500.1845955</v>
      </c>
      <c r="F938">
        <v>132.0127464</v>
      </c>
      <c r="G938">
        <v>230.4587617</v>
      </c>
      <c r="H938">
        <v>27.764003030000001</v>
      </c>
      <c r="I938" t="s">
        <v>44</v>
      </c>
      <c r="J938" s="1">
        <v>45858</v>
      </c>
    </row>
    <row r="939" spans="1:10" x14ac:dyDescent="0.3">
      <c r="A939">
        <v>81</v>
      </c>
      <c r="B939" t="s">
        <v>10</v>
      </c>
      <c r="C939" t="s">
        <v>11</v>
      </c>
      <c r="D939">
        <v>79.650103520000002</v>
      </c>
      <c r="E939">
        <v>718.74888290000001</v>
      </c>
      <c r="F939">
        <v>501.57972949999998</v>
      </c>
      <c r="G939">
        <v>146.78892450000001</v>
      </c>
      <c r="H939">
        <v>33.3335303</v>
      </c>
      <c r="J939" s="1">
        <v>45007</v>
      </c>
    </row>
    <row r="940" spans="1:10" x14ac:dyDescent="0.3">
      <c r="A940">
        <v>206</v>
      </c>
      <c r="B940" t="s">
        <v>10</v>
      </c>
      <c r="C940" t="s">
        <v>17</v>
      </c>
      <c r="D940">
        <v>219.95130180000001</v>
      </c>
      <c r="E940">
        <v>2565.1979019999999</v>
      </c>
      <c r="F940">
        <v>376.19142870000002</v>
      </c>
      <c r="G940">
        <v>205.61605829999999</v>
      </c>
      <c r="H940">
        <v>27.20956825</v>
      </c>
      <c r="I940" t="s">
        <v>18</v>
      </c>
      <c r="J940" s="1">
        <v>45132</v>
      </c>
    </row>
    <row r="941" spans="1:10" x14ac:dyDescent="0.3">
      <c r="A941">
        <v>35</v>
      </c>
      <c r="B941" t="s">
        <v>13</v>
      </c>
      <c r="C941" t="s">
        <v>41</v>
      </c>
      <c r="D941">
        <v>74.722794620000002</v>
      </c>
      <c r="E941">
        <v>551.50426730000004</v>
      </c>
      <c r="F941">
        <v>472.08304550000003</v>
      </c>
      <c r="G941">
        <v>161.9854526</v>
      </c>
      <c r="H941">
        <v>19.638536569999999</v>
      </c>
      <c r="I941" t="s">
        <v>40</v>
      </c>
      <c r="J941" s="1">
        <v>44961</v>
      </c>
    </row>
    <row r="942" spans="1:10" x14ac:dyDescent="0.3">
      <c r="A942">
        <v>776</v>
      </c>
      <c r="B942" t="s">
        <v>10</v>
      </c>
      <c r="C942" t="s">
        <v>19</v>
      </c>
      <c r="D942">
        <v>189.77230130000001</v>
      </c>
      <c r="E942">
        <v>547.36931370000002</v>
      </c>
      <c r="F942">
        <v>554.37709289999998</v>
      </c>
      <c r="G942">
        <v>151.9057569</v>
      </c>
      <c r="H942">
        <v>30.718402229999999</v>
      </c>
      <c r="J942" s="1">
        <v>45702</v>
      </c>
    </row>
    <row r="943" spans="1:10" x14ac:dyDescent="0.3">
      <c r="A943">
        <v>509</v>
      </c>
      <c r="B943" t="s">
        <v>10</v>
      </c>
      <c r="C943" t="s">
        <v>19</v>
      </c>
      <c r="D943">
        <v>58.12689426</v>
      </c>
      <c r="E943">
        <v>581.0345016</v>
      </c>
      <c r="F943">
        <v>601.6146986</v>
      </c>
      <c r="G943">
        <v>293.36121020000002</v>
      </c>
      <c r="H943">
        <v>29.492208980000001</v>
      </c>
      <c r="I943" t="s">
        <v>18</v>
      </c>
      <c r="J943" s="1">
        <v>45435</v>
      </c>
    </row>
    <row r="944" spans="1:10" x14ac:dyDescent="0.3">
      <c r="A944">
        <v>428</v>
      </c>
      <c r="B944" t="s">
        <v>10</v>
      </c>
      <c r="C944" t="s">
        <v>41</v>
      </c>
      <c r="D944">
        <v>45.550542399999998</v>
      </c>
      <c r="E944">
        <v>447.1963002</v>
      </c>
      <c r="F944">
        <v>590.36439770000004</v>
      </c>
      <c r="G944">
        <v>216.9192013</v>
      </c>
      <c r="H944">
        <v>34.021281360000003</v>
      </c>
      <c r="I944" t="s">
        <v>40</v>
      </c>
      <c r="J944" s="1">
        <v>45354</v>
      </c>
    </row>
    <row r="945" spans="1:10" x14ac:dyDescent="0.3">
      <c r="A945">
        <v>455</v>
      </c>
      <c r="B945" t="s">
        <v>14</v>
      </c>
      <c r="C945" t="s">
        <v>11</v>
      </c>
      <c r="D945">
        <v>40.190825570000001</v>
      </c>
      <c r="E945">
        <v>342.50205310000001</v>
      </c>
      <c r="F945">
        <v>502.41144659999998</v>
      </c>
      <c r="G945">
        <v>196.5930443</v>
      </c>
      <c r="H945">
        <v>40.88526324</v>
      </c>
      <c r="I945" t="s">
        <v>44</v>
      </c>
      <c r="J945" s="1">
        <v>45381</v>
      </c>
    </row>
    <row r="946" spans="1:10" x14ac:dyDescent="0.3">
      <c r="A946">
        <v>367</v>
      </c>
      <c r="B946" t="s">
        <v>14</v>
      </c>
      <c r="C946" t="s">
        <v>15</v>
      </c>
      <c r="D946">
        <v>74.648776359999999</v>
      </c>
      <c r="E946">
        <v>446.40408550000001</v>
      </c>
      <c r="F946">
        <v>716.50371250000001</v>
      </c>
      <c r="G946">
        <v>176.715238</v>
      </c>
      <c r="H946">
        <v>39.536489179999997</v>
      </c>
      <c r="I946" t="s">
        <v>18</v>
      </c>
      <c r="J946" s="1">
        <v>45293</v>
      </c>
    </row>
    <row r="947" spans="1:10" x14ac:dyDescent="0.3">
      <c r="A947">
        <v>92</v>
      </c>
      <c r="B947" t="s">
        <v>12</v>
      </c>
      <c r="C947" t="s">
        <v>11</v>
      </c>
      <c r="D947">
        <v>58.731585490000001</v>
      </c>
      <c r="E947">
        <v>506.52681949999999</v>
      </c>
      <c r="F947">
        <v>445.34456369999998</v>
      </c>
      <c r="G947">
        <v>310.21144850000002</v>
      </c>
      <c r="H947">
        <v>23.689754879999999</v>
      </c>
      <c r="I947" t="s">
        <v>16</v>
      </c>
      <c r="J947" s="1">
        <v>45018</v>
      </c>
    </row>
    <row r="948" spans="1:10" x14ac:dyDescent="0.3">
      <c r="A948">
        <v>340</v>
      </c>
      <c r="B948" t="s">
        <v>14</v>
      </c>
      <c r="C948" t="s">
        <v>17</v>
      </c>
      <c r="D948">
        <v>47.611192520000003</v>
      </c>
      <c r="E948">
        <v>386.45391059999997</v>
      </c>
      <c r="F948">
        <v>617.02238939999995</v>
      </c>
      <c r="G948">
        <v>309.28558320000002</v>
      </c>
      <c r="H948">
        <v>19.601833589999998</v>
      </c>
      <c r="J948" s="1">
        <v>45266</v>
      </c>
    </row>
    <row r="949" spans="1:10" x14ac:dyDescent="0.3">
      <c r="B949" t="s">
        <v>12</v>
      </c>
      <c r="C949" t="s">
        <v>17</v>
      </c>
      <c r="D949">
        <v>32.660164709999997</v>
      </c>
      <c r="E949">
        <v>402.21627999999998</v>
      </c>
      <c r="F949">
        <v>410.669939</v>
      </c>
      <c r="G949">
        <v>188.20150419999999</v>
      </c>
      <c r="H949">
        <v>28.243639810000001</v>
      </c>
      <c r="I949" t="s">
        <v>16</v>
      </c>
      <c r="J949" s="1">
        <v>45824</v>
      </c>
    </row>
    <row r="950" spans="1:10" x14ac:dyDescent="0.3">
      <c r="A950">
        <v>565</v>
      </c>
      <c r="B950" t="s">
        <v>12</v>
      </c>
      <c r="D950">
        <v>49.929572010000001</v>
      </c>
      <c r="E950">
        <v>401.21911649999998</v>
      </c>
      <c r="F950">
        <v>359.87253440000001</v>
      </c>
      <c r="H950">
        <v>38.996255230000003</v>
      </c>
      <c r="J950" s="1">
        <v>45491</v>
      </c>
    </row>
    <row r="951" spans="1:10" x14ac:dyDescent="0.3">
      <c r="A951">
        <v>346</v>
      </c>
      <c r="B951" t="s">
        <v>14</v>
      </c>
      <c r="C951" t="s">
        <v>17</v>
      </c>
      <c r="D951">
        <v>38.685469789999999</v>
      </c>
      <c r="E951">
        <v>538.31002120000005</v>
      </c>
      <c r="F951">
        <v>564.34581579999997</v>
      </c>
      <c r="G951">
        <v>164.075974</v>
      </c>
      <c r="H951">
        <v>36.121908349999998</v>
      </c>
      <c r="I951" t="s">
        <v>16</v>
      </c>
      <c r="J951" s="1">
        <v>45272</v>
      </c>
    </row>
    <row r="952" spans="1:10" x14ac:dyDescent="0.3">
      <c r="A952">
        <v>777</v>
      </c>
      <c r="C952" t="s">
        <v>17</v>
      </c>
      <c r="D952">
        <v>52.726977939999998</v>
      </c>
      <c r="E952">
        <v>552.30790039999999</v>
      </c>
      <c r="F952">
        <v>310.9071687</v>
      </c>
      <c r="G952">
        <v>206.73537339999999</v>
      </c>
      <c r="H952">
        <v>31.808809960000001</v>
      </c>
      <c r="I952" t="s">
        <v>40</v>
      </c>
      <c r="J952" s="1">
        <v>45703</v>
      </c>
    </row>
    <row r="953" spans="1:10" x14ac:dyDescent="0.3">
      <c r="A953">
        <v>242</v>
      </c>
      <c r="B953" t="s">
        <v>14</v>
      </c>
      <c r="C953" t="s">
        <v>41</v>
      </c>
      <c r="D953">
        <v>48.407761219999998</v>
      </c>
      <c r="E953">
        <v>515.70545809999999</v>
      </c>
      <c r="F953">
        <v>545.13940219999995</v>
      </c>
      <c r="G953">
        <v>181.4362644</v>
      </c>
      <c r="H953">
        <v>31.132526760000001</v>
      </c>
      <c r="I953" t="s">
        <v>16</v>
      </c>
      <c r="J953" s="1">
        <v>45168</v>
      </c>
    </row>
    <row r="954" spans="1:10" x14ac:dyDescent="0.3">
      <c r="A954">
        <v>14</v>
      </c>
      <c r="B954" t="s">
        <v>43</v>
      </c>
      <c r="C954" t="s">
        <v>11</v>
      </c>
      <c r="D954">
        <v>56.075143269999998</v>
      </c>
      <c r="E954">
        <v>466.3102174</v>
      </c>
      <c r="F954">
        <v>358.9603199</v>
      </c>
      <c r="G954">
        <v>262.630786</v>
      </c>
      <c r="H954">
        <v>33.34904049</v>
      </c>
      <c r="I954" t="s">
        <v>16</v>
      </c>
      <c r="J954" s="1">
        <v>44940</v>
      </c>
    </row>
    <row r="955" spans="1:10" x14ac:dyDescent="0.3">
      <c r="A955">
        <v>316</v>
      </c>
      <c r="B955" t="s">
        <v>14</v>
      </c>
      <c r="C955" t="s">
        <v>11</v>
      </c>
      <c r="D955">
        <v>43.191127180000002</v>
      </c>
      <c r="E955">
        <v>595.77276540000003</v>
      </c>
      <c r="F955">
        <v>513.20675670000003</v>
      </c>
      <c r="G955">
        <v>100.2935578</v>
      </c>
      <c r="H955">
        <v>21.371628730000001</v>
      </c>
      <c r="I955" t="s">
        <v>40</v>
      </c>
      <c r="J955" s="1">
        <v>45242</v>
      </c>
    </row>
    <row r="956" spans="1:10" x14ac:dyDescent="0.3">
      <c r="A956">
        <v>601</v>
      </c>
      <c r="B956" t="s">
        <v>12</v>
      </c>
      <c r="D956">
        <v>48.07888947</v>
      </c>
      <c r="E956">
        <v>543.34897169999999</v>
      </c>
      <c r="F956">
        <v>373.05378000000002</v>
      </c>
      <c r="G956">
        <v>234.96152900000001</v>
      </c>
      <c r="H956">
        <v>27.4493963</v>
      </c>
      <c r="J956" s="1">
        <v>45527</v>
      </c>
    </row>
    <row r="957" spans="1:10" x14ac:dyDescent="0.3">
      <c r="A957">
        <v>388</v>
      </c>
      <c r="B957" t="s">
        <v>42</v>
      </c>
      <c r="C957" t="s">
        <v>15</v>
      </c>
      <c r="D957">
        <v>49.37343044</v>
      </c>
      <c r="E957">
        <v>503.99363970000002</v>
      </c>
      <c r="F957">
        <v>339.01904300000001</v>
      </c>
      <c r="G957">
        <v>157.74356950000001</v>
      </c>
      <c r="H957">
        <v>25.118767739999999</v>
      </c>
      <c r="I957" t="s">
        <v>18</v>
      </c>
      <c r="J957" s="1">
        <v>45314</v>
      </c>
    </row>
    <row r="958" spans="1:10" x14ac:dyDescent="0.3">
      <c r="A958">
        <v>274</v>
      </c>
      <c r="B958" t="s">
        <v>42</v>
      </c>
      <c r="C958" t="s">
        <v>17</v>
      </c>
      <c r="D958">
        <v>37.621790560000001</v>
      </c>
      <c r="E958">
        <v>343.36502669999999</v>
      </c>
      <c r="F958">
        <v>441.3952539</v>
      </c>
      <c r="G958">
        <v>296.59701869999998</v>
      </c>
      <c r="H958">
        <v>33.211862959999998</v>
      </c>
      <c r="I958" t="s">
        <v>18</v>
      </c>
      <c r="J958" s="1">
        <v>45200</v>
      </c>
    </row>
    <row r="959" spans="1:10" x14ac:dyDescent="0.3">
      <c r="A959">
        <v>167</v>
      </c>
      <c r="C959" t="s">
        <v>19</v>
      </c>
      <c r="D959">
        <v>55.472159380000001</v>
      </c>
      <c r="E959">
        <v>492.26276089999999</v>
      </c>
      <c r="F959">
        <v>398.79950359999998</v>
      </c>
      <c r="G959">
        <v>157.96962859999999</v>
      </c>
      <c r="H959">
        <v>30.288011130000001</v>
      </c>
      <c r="I959" t="s">
        <v>40</v>
      </c>
      <c r="J959" s="1">
        <v>45093</v>
      </c>
    </row>
    <row r="960" spans="1:10" x14ac:dyDescent="0.3">
      <c r="A960">
        <v>841</v>
      </c>
      <c r="B960" t="s">
        <v>43</v>
      </c>
      <c r="C960" t="s">
        <v>15</v>
      </c>
      <c r="D960">
        <v>54.242342600000001</v>
      </c>
      <c r="E960">
        <v>415.33537510000002</v>
      </c>
      <c r="F960">
        <v>377.73580420000002</v>
      </c>
      <c r="G960">
        <v>197.4065568</v>
      </c>
      <c r="H960">
        <v>33.393713009999999</v>
      </c>
      <c r="J960" s="1">
        <v>45767</v>
      </c>
    </row>
    <row r="961" spans="1:10" x14ac:dyDescent="0.3">
      <c r="A961">
        <v>969</v>
      </c>
      <c r="B961" t="s">
        <v>14</v>
      </c>
      <c r="C961" t="s">
        <v>41</v>
      </c>
      <c r="D961">
        <v>47.808439800000002</v>
      </c>
      <c r="E961">
        <v>599.12586580000004</v>
      </c>
      <c r="F961">
        <v>355.69068179999999</v>
      </c>
      <c r="G961">
        <v>178.92611260000001</v>
      </c>
      <c r="H961">
        <v>28.007465409999998</v>
      </c>
      <c r="J961" s="1">
        <v>45895</v>
      </c>
    </row>
    <row r="962" spans="1:10" x14ac:dyDescent="0.3">
      <c r="A962">
        <v>647</v>
      </c>
      <c r="B962" t="s">
        <v>12</v>
      </c>
      <c r="C962" t="s">
        <v>19</v>
      </c>
      <c r="D962">
        <v>45.732428830000003</v>
      </c>
      <c r="E962">
        <v>628.93968629999995</v>
      </c>
      <c r="F962">
        <v>344.08034959999998</v>
      </c>
      <c r="G962">
        <v>246.32409380000001</v>
      </c>
      <c r="H962">
        <v>31.122086039999999</v>
      </c>
      <c r="I962" t="s">
        <v>18</v>
      </c>
      <c r="J962" s="1">
        <v>45573</v>
      </c>
    </row>
    <row r="963" spans="1:10" x14ac:dyDescent="0.3">
      <c r="A963">
        <v>819</v>
      </c>
      <c r="B963" t="s">
        <v>43</v>
      </c>
      <c r="C963" t="s">
        <v>19</v>
      </c>
      <c r="D963">
        <v>53.475303760000003</v>
      </c>
      <c r="E963">
        <v>438.73053540000001</v>
      </c>
      <c r="F963">
        <v>478.08985860000001</v>
      </c>
      <c r="G963">
        <v>202.51859479999999</v>
      </c>
      <c r="H963">
        <v>34.832721249999999</v>
      </c>
      <c r="I963" t="s">
        <v>18</v>
      </c>
      <c r="J963" s="1">
        <v>45745</v>
      </c>
    </row>
    <row r="964" spans="1:10" x14ac:dyDescent="0.3">
      <c r="A964">
        <v>485</v>
      </c>
      <c r="C964" t="s">
        <v>11</v>
      </c>
      <c r="D964">
        <v>32.622702449999998</v>
      </c>
      <c r="E964">
        <v>580.75310000000002</v>
      </c>
      <c r="F964">
        <v>612.3513279</v>
      </c>
      <c r="G964">
        <v>136.31413000000001</v>
      </c>
      <c r="H964">
        <v>25.101190259999999</v>
      </c>
      <c r="I964" t="s">
        <v>44</v>
      </c>
      <c r="J964" s="1">
        <v>45411</v>
      </c>
    </row>
    <row r="965" spans="1:10" x14ac:dyDescent="0.3">
      <c r="A965">
        <v>508</v>
      </c>
      <c r="B965" t="s">
        <v>10</v>
      </c>
      <c r="D965">
        <v>49.141067499999998</v>
      </c>
      <c r="E965">
        <v>528.48686429999998</v>
      </c>
      <c r="F965">
        <v>391.85302840000003</v>
      </c>
      <c r="G965">
        <v>223.28866590000001</v>
      </c>
      <c r="H965">
        <v>35.699875570000003</v>
      </c>
      <c r="I965" t="s">
        <v>16</v>
      </c>
      <c r="J965" s="1">
        <v>45434</v>
      </c>
    </row>
    <row r="966" spans="1:10" x14ac:dyDescent="0.3">
      <c r="A966">
        <v>505</v>
      </c>
      <c r="B966" t="s">
        <v>43</v>
      </c>
      <c r="C966" t="s">
        <v>41</v>
      </c>
      <c r="D966">
        <v>53.262746710000002</v>
      </c>
      <c r="E966">
        <v>515.38319160000003</v>
      </c>
      <c r="F966">
        <v>392.6793174</v>
      </c>
      <c r="G966">
        <v>219.15410790000001</v>
      </c>
      <c r="H966">
        <v>33.401918690000002</v>
      </c>
      <c r="J966" s="1">
        <v>45431</v>
      </c>
    </row>
    <row r="967" spans="1:10" x14ac:dyDescent="0.3">
      <c r="A967">
        <v>832</v>
      </c>
      <c r="B967" t="s">
        <v>14</v>
      </c>
      <c r="C967" t="s">
        <v>15</v>
      </c>
      <c r="D967">
        <v>38.869455729999999</v>
      </c>
      <c r="E967">
        <v>484.98957780000001</v>
      </c>
      <c r="F967">
        <v>423.86133810000001</v>
      </c>
      <c r="G967">
        <v>220.932401</v>
      </c>
      <c r="H967">
        <v>26.916832200000002</v>
      </c>
      <c r="I967" t="s">
        <v>18</v>
      </c>
      <c r="J967" s="1">
        <v>45758</v>
      </c>
    </row>
    <row r="968" spans="1:10" x14ac:dyDescent="0.3">
      <c r="A968">
        <v>244</v>
      </c>
      <c r="B968" t="s">
        <v>14</v>
      </c>
      <c r="C968" t="s">
        <v>15</v>
      </c>
      <c r="D968">
        <v>55.510373020000003</v>
      </c>
      <c r="E968">
        <v>504.1379053</v>
      </c>
      <c r="G968">
        <v>230.22961720000001</v>
      </c>
      <c r="H968">
        <v>23.028221670000001</v>
      </c>
      <c r="I968" t="s">
        <v>18</v>
      </c>
      <c r="J968" s="1">
        <v>45170</v>
      </c>
    </row>
    <row r="969" spans="1:10" x14ac:dyDescent="0.3">
      <c r="A969">
        <v>567</v>
      </c>
      <c r="B969" t="s">
        <v>43</v>
      </c>
      <c r="C969" t="s">
        <v>11</v>
      </c>
      <c r="D969">
        <v>61.159020529999999</v>
      </c>
      <c r="E969">
        <v>396.29824309999998</v>
      </c>
      <c r="F969">
        <v>644.17181779999999</v>
      </c>
      <c r="G969">
        <v>251.69453949999999</v>
      </c>
      <c r="H969">
        <v>28.739620169999998</v>
      </c>
      <c r="J969" s="1">
        <v>45493</v>
      </c>
    </row>
    <row r="970" spans="1:10" x14ac:dyDescent="0.3">
      <c r="A970">
        <v>876</v>
      </c>
      <c r="B970" t="s">
        <v>43</v>
      </c>
      <c r="C970" t="s">
        <v>41</v>
      </c>
      <c r="D970">
        <v>31.420079579999999</v>
      </c>
      <c r="E970">
        <v>586.37918249999996</v>
      </c>
      <c r="F970">
        <v>638.42210369999998</v>
      </c>
      <c r="G970">
        <v>207.26590279999999</v>
      </c>
      <c r="H970">
        <v>21.47182025</v>
      </c>
      <c r="I970" t="s">
        <v>16</v>
      </c>
      <c r="J970" s="1">
        <v>45802</v>
      </c>
    </row>
    <row r="971" spans="1:10" x14ac:dyDescent="0.3">
      <c r="A971">
        <v>563</v>
      </c>
      <c r="B971" t="s">
        <v>13</v>
      </c>
      <c r="C971" t="s">
        <v>15</v>
      </c>
      <c r="D971">
        <v>43.752104529999997</v>
      </c>
      <c r="E971">
        <v>389.6976545</v>
      </c>
      <c r="F971">
        <v>527.81389469999999</v>
      </c>
      <c r="G971">
        <v>267.33217159999998</v>
      </c>
      <c r="H971">
        <v>26.065966719999999</v>
      </c>
      <c r="I971" t="s">
        <v>16</v>
      </c>
      <c r="J971" s="1">
        <v>45489</v>
      </c>
    </row>
    <row r="972" spans="1:10" x14ac:dyDescent="0.3">
      <c r="A972">
        <v>973</v>
      </c>
      <c r="C972" t="s">
        <v>15</v>
      </c>
      <c r="D972">
        <v>37.385451660000001</v>
      </c>
      <c r="E972">
        <v>489.14070290000001</v>
      </c>
      <c r="F972">
        <v>501.78159979999998</v>
      </c>
      <c r="G972">
        <v>244.5261089</v>
      </c>
      <c r="H972">
        <v>30.81533172</v>
      </c>
      <c r="I972" t="s">
        <v>44</v>
      </c>
      <c r="J972" s="1">
        <v>45899</v>
      </c>
    </row>
    <row r="973" spans="1:10" x14ac:dyDescent="0.3">
      <c r="A973">
        <v>687</v>
      </c>
      <c r="B973" t="s">
        <v>42</v>
      </c>
      <c r="C973" t="s">
        <v>11</v>
      </c>
      <c r="D973">
        <v>40.265532589999999</v>
      </c>
      <c r="E973">
        <v>615.58850840000002</v>
      </c>
      <c r="F973">
        <v>434.71895080000002</v>
      </c>
      <c r="G973">
        <v>199.64381940000001</v>
      </c>
      <c r="H973">
        <v>31.023342190000001</v>
      </c>
      <c r="I973" t="s">
        <v>16</v>
      </c>
      <c r="J973" s="1">
        <v>45613</v>
      </c>
    </row>
    <row r="974" spans="1:10" x14ac:dyDescent="0.3">
      <c r="A974">
        <v>958</v>
      </c>
      <c r="B974" t="s">
        <v>13</v>
      </c>
      <c r="C974" t="s">
        <v>15</v>
      </c>
      <c r="D974">
        <v>52.289824250000002</v>
      </c>
      <c r="E974">
        <v>379.53067170000003</v>
      </c>
      <c r="F974">
        <v>674.54722560000005</v>
      </c>
      <c r="G974">
        <v>177.75261850000001</v>
      </c>
      <c r="H974">
        <v>29.510746149999999</v>
      </c>
      <c r="J974" s="1">
        <v>45884</v>
      </c>
    </row>
    <row r="975" spans="1:10" x14ac:dyDescent="0.3">
      <c r="A975">
        <v>190</v>
      </c>
      <c r="B975" t="s">
        <v>43</v>
      </c>
      <c r="D975">
        <v>40.662777470000002</v>
      </c>
      <c r="E975">
        <v>482.0376</v>
      </c>
      <c r="F975">
        <v>386.99589730000002</v>
      </c>
      <c r="G975">
        <v>224.1719946</v>
      </c>
      <c r="H975">
        <v>25.314414769999999</v>
      </c>
    </row>
    <row r="976" spans="1:10" x14ac:dyDescent="0.3">
      <c r="A976">
        <v>783</v>
      </c>
      <c r="B976" t="s">
        <v>13</v>
      </c>
      <c r="C976" t="s">
        <v>41</v>
      </c>
      <c r="D976">
        <v>51.408284270000003</v>
      </c>
      <c r="E976">
        <v>389.68172429999998</v>
      </c>
      <c r="F976">
        <v>465.60704720000001</v>
      </c>
      <c r="G976">
        <v>209.66763900000001</v>
      </c>
      <c r="H976">
        <v>26.862785819999999</v>
      </c>
      <c r="I976" t="s">
        <v>40</v>
      </c>
      <c r="J976" s="1">
        <v>45709</v>
      </c>
    </row>
    <row r="977" spans="1:10" x14ac:dyDescent="0.3">
      <c r="A977">
        <v>700</v>
      </c>
      <c r="B977" t="s">
        <v>43</v>
      </c>
      <c r="C977" t="s">
        <v>11</v>
      </c>
      <c r="D977">
        <v>48.081785420000003</v>
      </c>
      <c r="E977">
        <v>570.11863259999996</v>
      </c>
      <c r="F977">
        <v>406.17747889999998</v>
      </c>
      <c r="G977">
        <v>193.32011030000001</v>
      </c>
      <c r="H977">
        <v>28.014045169999999</v>
      </c>
      <c r="I977" t="s">
        <v>18</v>
      </c>
      <c r="J977" s="1">
        <v>45626</v>
      </c>
    </row>
    <row r="978" spans="1:10" x14ac:dyDescent="0.3">
      <c r="A978">
        <v>476</v>
      </c>
      <c r="B978" t="s">
        <v>42</v>
      </c>
      <c r="D978">
        <v>67.992715750000002</v>
      </c>
      <c r="E978">
        <v>518.9660877</v>
      </c>
      <c r="F978">
        <v>505.55399679999999</v>
      </c>
      <c r="G978">
        <v>124.3521617</v>
      </c>
      <c r="H978">
        <v>28.581362479999999</v>
      </c>
      <c r="I978" t="s">
        <v>18</v>
      </c>
      <c r="J978" s="1">
        <v>45402</v>
      </c>
    </row>
    <row r="979" spans="1:10" x14ac:dyDescent="0.3">
      <c r="A979">
        <v>682</v>
      </c>
      <c r="B979" t="s">
        <v>43</v>
      </c>
      <c r="C979" t="s">
        <v>41</v>
      </c>
      <c r="D979">
        <v>49.68081505</v>
      </c>
      <c r="E979">
        <v>484.32579240000001</v>
      </c>
      <c r="F979">
        <v>392.55863199999999</v>
      </c>
      <c r="G979">
        <v>297.41221630000001</v>
      </c>
      <c r="H979">
        <v>31.990473900000001</v>
      </c>
      <c r="J979" s="1">
        <v>45608</v>
      </c>
    </row>
    <row r="980" spans="1:10" x14ac:dyDescent="0.3">
      <c r="A980">
        <v>511</v>
      </c>
      <c r="B980" t="s">
        <v>43</v>
      </c>
      <c r="C980" t="s">
        <v>41</v>
      </c>
      <c r="D980">
        <v>50.304788500000001</v>
      </c>
      <c r="E980">
        <v>610.69647659999998</v>
      </c>
      <c r="F980">
        <v>545.63533150000001</v>
      </c>
      <c r="G980">
        <v>235.35930930000001</v>
      </c>
      <c r="H980">
        <v>36.690135810000001</v>
      </c>
      <c r="I980" t="s">
        <v>18</v>
      </c>
      <c r="J980" s="1">
        <v>45437</v>
      </c>
    </row>
    <row r="981" spans="1:10" x14ac:dyDescent="0.3">
      <c r="A981">
        <v>59</v>
      </c>
      <c r="B981" t="s">
        <v>14</v>
      </c>
      <c r="C981" t="s">
        <v>15</v>
      </c>
      <c r="D981">
        <v>45.065371839999997</v>
      </c>
      <c r="E981">
        <v>482.07895250000001</v>
      </c>
      <c r="F981">
        <v>413.3316782</v>
      </c>
      <c r="G981">
        <v>164.24683899999999</v>
      </c>
      <c r="H981">
        <v>21.84721399</v>
      </c>
      <c r="I981" t="s">
        <v>18</v>
      </c>
      <c r="J981" s="1">
        <v>44985</v>
      </c>
    </row>
    <row r="982" spans="1:10" x14ac:dyDescent="0.3">
      <c r="A982">
        <v>475</v>
      </c>
      <c r="B982" t="s">
        <v>42</v>
      </c>
      <c r="D982">
        <v>64.5561869</v>
      </c>
      <c r="E982">
        <v>531.65403270000002</v>
      </c>
      <c r="F982">
        <v>632.30071880000003</v>
      </c>
      <c r="G982">
        <v>176.68480109999999</v>
      </c>
      <c r="H982">
        <v>23.329196199999998</v>
      </c>
      <c r="I982" t="s">
        <v>40</v>
      </c>
      <c r="J982" s="1">
        <v>45401</v>
      </c>
    </row>
    <row r="983" spans="1:10" x14ac:dyDescent="0.3">
      <c r="A983">
        <v>561</v>
      </c>
      <c r="B983" t="s">
        <v>43</v>
      </c>
      <c r="D983">
        <v>66.309291810000005</v>
      </c>
      <c r="E983">
        <v>461.05984569999998</v>
      </c>
      <c r="F983">
        <v>498.87101239999998</v>
      </c>
      <c r="G983">
        <v>142.82202699999999</v>
      </c>
      <c r="H983">
        <v>23.904070860000001</v>
      </c>
      <c r="I983" t="s">
        <v>40</v>
      </c>
      <c r="J983" s="1">
        <v>45487</v>
      </c>
    </row>
    <row r="984" spans="1:10" x14ac:dyDescent="0.3">
      <c r="A984">
        <v>857</v>
      </c>
      <c r="B984" t="s">
        <v>12</v>
      </c>
      <c r="C984" t="s">
        <v>11</v>
      </c>
      <c r="D984">
        <v>47.95064962</v>
      </c>
      <c r="E984">
        <v>670.26964880000003</v>
      </c>
      <c r="F984">
        <v>419.57950060000002</v>
      </c>
      <c r="G984">
        <v>166.23133809999999</v>
      </c>
      <c r="H984">
        <v>31.89416816</v>
      </c>
      <c r="I984" t="s">
        <v>18</v>
      </c>
      <c r="J984" s="1">
        <v>45783</v>
      </c>
    </row>
    <row r="985" spans="1:10" x14ac:dyDescent="0.3">
      <c r="A985">
        <v>748</v>
      </c>
      <c r="B985" t="s">
        <v>43</v>
      </c>
      <c r="D985">
        <v>45.892913409999998</v>
      </c>
      <c r="E985">
        <v>515.91589450000004</v>
      </c>
      <c r="F985">
        <v>506.57732370000002</v>
      </c>
      <c r="G985">
        <v>262.1656112</v>
      </c>
      <c r="H985">
        <v>26.212846129999999</v>
      </c>
      <c r="I985" t="s">
        <v>18</v>
      </c>
      <c r="J985" s="1">
        <v>45674</v>
      </c>
    </row>
    <row r="986" spans="1:10" x14ac:dyDescent="0.3">
      <c r="A986">
        <v>253</v>
      </c>
      <c r="B986" t="s">
        <v>13</v>
      </c>
      <c r="C986" t="s">
        <v>19</v>
      </c>
      <c r="D986">
        <v>54.719613330000001</v>
      </c>
      <c r="E986">
        <v>639.24721629999999</v>
      </c>
      <c r="F986">
        <v>674.79158229999996</v>
      </c>
      <c r="G986">
        <v>170.96159470000001</v>
      </c>
      <c r="H986">
        <v>25.548727899999999</v>
      </c>
      <c r="J986" s="1">
        <v>45179</v>
      </c>
    </row>
    <row r="987" spans="1:10" x14ac:dyDescent="0.3">
      <c r="A987">
        <v>22</v>
      </c>
      <c r="B987" t="s">
        <v>42</v>
      </c>
      <c r="C987" t="s">
        <v>15</v>
      </c>
      <c r="D987">
        <v>42.426004829999997</v>
      </c>
      <c r="E987">
        <v>519.22826740000005</v>
      </c>
      <c r="F987">
        <v>583.11765490000005</v>
      </c>
      <c r="G987">
        <v>218.9775152</v>
      </c>
      <c r="H987">
        <v>29.359865660000001</v>
      </c>
      <c r="I987" t="s">
        <v>40</v>
      </c>
      <c r="J987" s="1">
        <v>44948</v>
      </c>
    </row>
    <row r="988" spans="1:10" x14ac:dyDescent="0.3">
      <c r="A988">
        <v>314</v>
      </c>
      <c r="B988" t="s">
        <v>13</v>
      </c>
      <c r="C988" t="s">
        <v>17</v>
      </c>
      <c r="D988">
        <v>67.268338420000006</v>
      </c>
      <c r="E988">
        <v>463.12040630000001</v>
      </c>
      <c r="F988">
        <v>401.16537879999998</v>
      </c>
      <c r="G988">
        <v>138.9461268</v>
      </c>
      <c r="H988">
        <v>27.995630219999999</v>
      </c>
      <c r="I988" t="s">
        <v>44</v>
      </c>
      <c r="J988" s="1">
        <v>45240</v>
      </c>
    </row>
    <row r="989" spans="1:10" x14ac:dyDescent="0.3">
      <c r="A989">
        <v>460</v>
      </c>
      <c r="B989" t="s">
        <v>12</v>
      </c>
      <c r="C989" t="s">
        <v>41</v>
      </c>
      <c r="D989">
        <v>45.639465119999997</v>
      </c>
      <c r="E989">
        <v>527.67934490000005</v>
      </c>
      <c r="F989">
        <v>581.31398739999997</v>
      </c>
      <c r="G989">
        <v>263.27227599999998</v>
      </c>
      <c r="H989">
        <v>28.74719816</v>
      </c>
      <c r="I989" t="s">
        <v>44</v>
      </c>
      <c r="J989" s="1">
        <v>45386</v>
      </c>
    </row>
    <row r="990" spans="1:10" x14ac:dyDescent="0.3">
      <c r="A990">
        <v>161</v>
      </c>
      <c r="B990" t="s">
        <v>14</v>
      </c>
      <c r="D990">
        <v>40.6153209</v>
      </c>
      <c r="E990">
        <v>347.46809100000002</v>
      </c>
      <c r="F990">
        <v>490.01773509999998</v>
      </c>
      <c r="G990">
        <v>166.18793959999999</v>
      </c>
      <c r="H990">
        <v>23.618320400000002</v>
      </c>
      <c r="I990" t="s">
        <v>40</v>
      </c>
      <c r="J990" s="1">
        <v>45087</v>
      </c>
    </row>
    <row r="991" spans="1:10" x14ac:dyDescent="0.3">
      <c r="A991">
        <v>277</v>
      </c>
      <c r="C991" t="s">
        <v>17</v>
      </c>
      <c r="D991">
        <v>46.458923589999998</v>
      </c>
      <c r="E991">
        <v>524.75119170000005</v>
      </c>
      <c r="F991">
        <v>653.19474639999999</v>
      </c>
      <c r="G991">
        <v>180.18418170000001</v>
      </c>
      <c r="H991">
        <v>27.128087749999999</v>
      </c>
      <c r="I991" t="s">
        <v>44</v>
      </c>
      <c r="J991" s="1">
        <v>45203</v>
      </c>
    </row>
    <row r="992" spans="1:10" x14ac:dyDescent="0.3">
      <c r="A992">
        <v>956</v>
      </c>
      <c r="B992" t="s">
        <v>42</v>
      </c>
      <c r="C992" t="s">
        <v>19</v>
      </c>
      <c r="D992">
        <v>46.450127160000001</v>
      </c>
      <c r="E992">
        <v>513.78445050000005</v>
      </c>
      <c r="F992">
        <v>538.54865340000003</v>
      </c>
      <c r="G992">
        <v>127.47251129999999</v>
      </c>
      <c r="H992">
        <v>24.510057159999999</v>
      </c>
      <c r="J992" s="1">
        <v>45882</v>
      </c>
    </row>
    <row r="993" spans="1:10" x14ac:dyDescent="0.3">
      <c r="A993">
        <v>192</v>
      </c>
      <c r="B993" t="s">
        <v>43</v>
      </c>
      <c r="C993" t="s">
        <v>17</v>
      </c>
      <c r="D993">
        <v>55.699503049999997</v>
      </c>
      <c r="E993">
        <v>420.2997196</v>
      </c>
      <c r="F993">
        <v>401.10180739999998</v>
      </c>
      <c r="G993">
        <v>218.436903</v>
      </c>
      <c r="H993">
        <v>33.051868499999998</v>
      </c>
      <c r="I993" t="s">
        <v>40</v>
      </c>
      <c r="J993" s="1">
        <v>45118</v>
      </c>
    </row>
    <row r="994" spans="1:10" x14ac:dyDescent="0.3">
      <c r="A994">
        <v>386</v>
      </c>
      <c r="B994" t="s">
        <v>42</v>
      </c>
      <c r="C994" t="s">
        <v>15</v>
      </c>
      <c r="D994">
        <v>54.171904640000001</v>
      </c>
      <c r="E994">
        <v>631.96444940000003</v>
      </c>
      <c r="F994">
        <v>601.2496592</v>
      </c>
      <c r="G994">
        <v>132.79485919999999</v>
      </c>
      <c r="H994">
        <v>29.082950060000002</v>
      </c>
      <c r="J994" s="1">
        <v>45312</v>
      </c>
    </row>
    <row r="995" spans="1:10" x14ac:dyDescent="0.3">
      <c r="A995">
        <v>806</v>
      </c>
      <c r="B995" t="s">
        <v>42</v>
      </c>
      <c r="C995" t="s">
        <v>41</v>
      </c>
      <c r="D995">
        <v>57.792340340000003</v>
      </c>
      <c r="E995">
        <v>487.98863569999997</v>
      </c>
      <c r="F995">
        <v>412.47695709999999</v>
      </c>
      <c r="G995">
        <v>151.68079650000001</v>
      </c>
      <c r="H995">
        <v>31.401027710000001</v>
      </c>
      <c r="I995" t="s">
        <v>40</v>
      </c>
      <c r="J995" s="1">
        <v>45732</v>
      </c>
    </row>
    <row r="996" spans="1:10" x14ac:dyDescent="0.3">
      <c r="A996">
        <v>414</v>
      </c>
      <c r="B996" t="s">
        <v>43</v>
      </c>
      <c r="C996" t="s">
        <v>17</v>
      </c>
      <c r="D996">
        <v>49.84806871</v>
      </c>
      <c r="F996">
        <v>414.92611950000003</v>
      </c>
      <c r="G996">
        <v>252.69604559999999</v>
      </c>
      <c r="H996">
        <v>30.988745680000001</v>
      </c>
      <c r="I996" t="s">
        <v>16</v>
      </c>
      <c r="J996" s="1">
        <v>45340</v>
      </c>
    </row>
    <row r="997" spans="1:10" x14ac:dyDescent="0.3">
      <c r="A997">
        <v>492</v>
      </c>
      <c r="B997" t="s">
        <v>43</v>
      </c>
      <c r="C997" t="s">
        <v>41</v>
      </c>
      <c r="D997">
        <v>48.354369290000001</v>
      </c>
      <c r="E997">
        <v>469.91966880000001</v>
      </c>
      <c r="F997">
        <v>508.19734499999998</v>
      </c>
      <c r="G997">
        <v>170.3337555</v>
      </c>
      <c r="H997">
        <v>27.892029690000001</v>
      </c>
      <c r="I997" t="s">
        <v>40</v>
      </c>
      <c r="J997" s="1">
        <v>45418</v>
      </c>
    </row>
    <row r="998" spans="1:10" x14ac:dyDescent="0.3">
      <c r="A998">
        <v>344</v>
      </c>
      <c r="B998" t="s">
        <v>10</v>
      </c>
      <c r="C998" t="s">
        <v>11</v>
      </c>
      <c r="D998">
        <v>33.989807020000001</v>
      </c>
      <c r="E998">
        <v>522.85765279999998</v>
      </c>
      <c r="F998">
        <v>519.19490610000003</v>
      </c>
      <c r="G998">
        <v>166.0133386</v>
      </c>
      <c r="H998">
        <v>36.786702329999997</v>
      </c>
      <c r="I998" t="s">
        <v>44</v>
      </c>
      <c r="J998" s="1">
        <v>45270</v>
      </c>
    </row>
    <row r="999" spans="1:10" x14ac:dyDescent="0.3">
      <c r="A999">
        <v>770</v>
      </c>
      <c r="D999">
        <v>51.258469699999999</v>
      </c>
      <c r="E999">
        <v>397.80258900000001</v>
      </c>
      <c r="F999">
        <v>678.14838940000004</v>
      </c>
      <c r="G999">
        <v>199.90471840000001</v>
      </c>
      <c r="H999">
        <v>28.678392559999999</v>
      </c>
      <c r="J999" s="1">
        <v>45696</v>
      </c>
    </row>
    <row r="1000" spans="1:10" x14ac:dyDescent="0.3">
      <c r="A1000">
        <v>309</v>
      </c>
      <c r="B1000" t="s">
        <v>14</v>
      </c>
      <c r="C1000" t="s">
        <v>41</v>
      </c>
      <c r="D1000">
        <v>38.273967429999999</v>
      </c>
      <c r="E1000">
        <v>463.37684610000002</v>
      </c>
      <c r="F1000">
        <v>243.5999453</v>
      </c>
      <c r="G1000">
        <v>297.54259009999998</v>
      </c>
      <c r="H1000">
        <v>27.265069579999999</v>
      </c>
      <c r="J1000" s="1">
        <v>45235</v>
      </c>
    </row>
    <row r="1001" spans="1:10" x14ac:dyDescent="0.3">
      <c r="A1001">
        <v>662</v>
      </c>
      <c r="B1001" t="s">
        <v>43</v>
      </c>
      <c r="C1001" t="s">
        <v>11</v>
      </c>
      <c r="D1001">
        <v>70.100092889999999</v>
      </c>
      <c r="E1001">
        <v>552.88313019999998</v>
      </c>
      <c r="F1001">
        <v>381.42365649999999</v>
      </c>
      <c r="G1001">
        <v>220.76362900000001</v>
      </c>
      <c r="H1001">
        <v>23.077884229999999</v>
      </c>
      <c r="I1001" t="s">
        <v>44</v>
      </c>
      <c r="J1001" s="1">
        <v>45588</v>
      </c>
    </row>
    <row r="1002" spans="1:10" x14ac:dyDescent="0.3">
      <c r="A1002">
        <v>131</v>
      </c>
      <c r="B1002" t="s">
        <v>13</v>
      </c>
      <c r="C1002" t="s">
        <v>15</v>
      </c>
      <c r="D1002">
        <v>56.489242109999999</v>
      </c>
      <c r="E1002">
        <v>216.7480429</v>
      </c>
      <c r="F1002">
        <v>452.92119559999998</v>
      </c>
      <c r="G1002">
        <v>181.81484420000001</v>
      </c>
      <c r="H1002">
        <v>31.53219417</v>
      </c>
      <c r="J1002" s="1">
        <v>45057</v>
      </c>
    </row>
    <row r="1003" spans="1:10" x14ac:dyDescent="0.3">
      <c r="A1003">
        <v>664</v>
      </c>
      <c r="B1003" t="s">
        <v>14</v>
      </c>
      <c r="C1003" t="s">
        <v>17</v>
      </c>
      <c r="D1003">
        <v>39.656271719999999</v>
      </c>
      <c r="E1003">
        <v>488.21259350000003</v>
      </c>
      <c r="F1003">
        <v>674.69980090000001</v>
      </c>
      <c r="G1003">
        <v>313.69705190000002</v>
      </c>
      <c r="H1003">
        <v>27.92805104</v>
      </c>
      <c r="I1003" t="s">
        <v>44</v>
      </c>
      <c r="J1003" s="1">
        <v>45590</v>
      </c>
    </row>
    <row r="1004" spans="1:10" x14ac:dyDescent="0.3">
      <c r="A1004">
        <v>872</v>
      </c>
      <c r="B1004" t="s">
        <v>43</v>
      </c>
      <c r="C1004" t="s">
        <v>19</v>
      </c>
      <c r="D1004">
        <v>60.761463130000003</v>
      </c>
      <c r="E1004">
        <v>768.46742380000001</v>
      </c>
      <c r="F1004">
        <v>583.41801640000006</v>
      </c>
      <c r="G1004">
        <v>216.62340420000001</v>
      </c>
      <c r="H1004">
        <v>31.299789969999999</v>
      </c>
      <c r="I1004" t="s">
        <v>44</v>
      </c>
      <c r="J1004" s="1">
        <v>45798</v>
      </c>
    </row>
    <row r="1005" spans="1:10" x14ac:dyDescent="0.3">
      <c r="A1005">
        <v>100</v>
      </c>
      <c r="C1005" t="s">
        <v>11</v>
      </c>
      <c r="D1005">
        <v>44.272315749999997</v>
      </c>
      <c r="E1005">
        <v>501.53789810000001</v>
      </c>
      <c r="F1005">
        <v>438.04620119999998</v>
      </c>
      <c r="G1005">
        <v>118.3561081</v>
      </c>
      <c r="H1005">
        <v>30.149334620000001</v>
      </c>
      <c r="I1005" t="s">
        <v>44</v>
      </c>
      <c r="J1005" s="1">
        <v>45026</v>
      </c>
    </row>
    <row r="1006" spans="1:10" x14ac:dyDescent="0.3">
      <c r="A1006">
        <v>373</v>
      </c>
      <c r="B1006" t="s">
        <v>43</v>
      </c>
      <c r="C1006" t="s">
        <v>17</v>
      </c>
      <c r="D1006">
        <v>46.282870969999998</v>
      </c>
      <c r="E1006">
        <v>563.36115410000002</v>
      </c>
      <c r="F1006">
        <v>521.40904520000004</v>
      </c>
      <c r="G1006">
        <v>221.1054297</v>
      </c>
      <c r="H1006">
        <v>25.077722519999998</v>
      </c>
      <c r="I1006" t="s">
        <v>40</v>
      </c>
      <c r="J1006" s="1">
        <v>45299</v>
      </c>
    </row>
    <row r="1007" spans="1:10" x14ac:dyDescent="0.3">
      <c r="A1007">
        <v>88</v>
      </c>
      <c r="B1007" t="s">
        <v>42</v>
      </c>
      <c r="D1007">
        <v>52.115949700000002</v>
      </c>
      <c r="E1007">
        <v>555.94490759999996</v>
      </c>
      <c r="F1007">
        <v>531.31407379999996</v>
      </c>
      <c r="G1007">
        <v>142.25670099999999</v>
      </c>
      <c r="H1007">
        <v>21.621041080000001</v>
      </c>
      <c r="I1007" t="s">
        <v>16</v>
      </c>
      <c r="J1007" s="1">
        <v>45014</v>
      </c>
    </row>
    <row r="1008" spans="1:10" x14ac:dyDescent="0.3">
      <c r="A1008">
        <v>459</v>
      </c>
      <c r="B1008" t="s">
        <v>43</v>
      </c>
      <c r="C1008" t="s">
        <v>11</v>
      </c>
      <c r="D1008">
        <v>45.48590342</v>
      </c>
      <c r="E1008">
        <v>478.50896449999999</v>
      </c>
      <c r="F1008">
        <v>409.21088429999998</v>
      </c>
      <c r="G1008">
        <v>256.24185299999999</v>
      </c>
      <c r="H1008">
        <v>32.282511679999999</v>
      </c>
      <c r="J1008" s="1">
        <v>45385</v>
      </c>
    </row>
    <row r="1009" spans="1:10" x14ac:dyDescent="0.3">
      <c r="A1009">
        <v>331</v>
      </c>
      <c r="B1009" t="s">
        <v>12</v>
      </c>
      <c r="C1009" t="s">
        <v>41</v>
      </c>
      <c r="D1009">
        <v>42.508207589999998</v>
      </c>
      <c r="E1009">
        <v>621.73735699999997</v>
      </c>
      <c r="F1009">
        <v>476.21852109999998</v>
      </c>
      <c r="G1009">
        <v>158.78582209999999</v>
      </c>
      <c r="H1009">
        <v>31.804930410000001</v>
      </c>
      <c r="I1009" t="s">
        <v>18</v>
      </c>
      <c r="J1009" s="1">
        <v>45257</v>
      </c>
    </row>
    <row r="1010" spans="1:10" x14ac:dyDescent="0.3">
      <c r="A1010">
        <v>215</v>
      </c>
      <c r="B1010" t="s">
        <v>10</v>
      </c>
      <c r="D1010">
        <v>45.457557250000001</v>
      </c>
      <c r="E1010">
        <v>473.7021196</v>
      </c>
      <c r="F1010">
        <v>423.70303619999999</v>
      </c>
      <c r="G1010">
        <v>170.1317617</v>
      </c>
      <c r="H1010">
        <v>29.489334710000001</v>
      </c>
      <c r="J1010" s="1">
        <v>45141</v>
      </c>
    </row>
    <row r="1011" spans="1:10" x14ac:dyDescent="0.3">
      <c r="A1011">
        <v>467</v>
      </c>
      <c r="B1011" t="s">
        <v>10</v>
      </c>
      <c r="C1011" t="s">
        <v>19</v>
      </c>
      <c r="D1011">
        <v>37.47410988</v>
      </c>
      <c r="E1011">
        <v>467.28818030000002</v>
      </c>
      <c r="F1011">
        <v>451.87981070000001</v>
      </c>
      <c r="G1011">
        <v>250.0683228</v>
      </c>
      <c r="H1011">
        <v>31.527821920000001</v>
      </c>
      <c r="I1011" t="s">
        <v>44</v>
      </c>
      <c r="J1011" s="1">
        <v>45393</v>
      </c>
    </row>
    <row r="1012" spans="1:10" x14ac:dyDescent="0.3">
      <c r="A1012">
        <v>122</v>
      </c>
      <c r="B1012" t="s">
        <v>14</v>
      </c>
      <c r="C1012" t="s">
        <v>17</v>
      </c>
      <c r="D1012">
        <v>37.542339409999997</v>
      </c>
      <c r="E1012">
        <v>506.83706289999998</v>
      </c>
      <c r="F1012">
        <v>619.75379880000003</v>
      </c>
      <c r="G1012">
        <v>133.7956585</v>
      </c>
      <c r="H1012">
        <v>20.071683220000001</v>
      </c>
      <c r="I1012" t="s">
        <v>40</v>
      </c>
      <c r="J1012" s="1">
        <v>45048</v>
      </c>
    </row>
    <row r="1013" spans="1:10" x14ac:dyDescent="0.3">
      <c r="A1013">
        <v>615</v>
      </c>
      <c r="B1013" t="s">
        <v>12</v>
      </c>
      <c r="C1013" t="s">
        <v>41</v>
      </c>
      <c r="D1013">
        <v>53.53482906</v>
      </c>
      <c r="E1013">
        <v>624.44980759999999</v>
      </c>
      <c r="F1013">
        <v>497.32121610000002</v>
      </c>
      <c r="G1013">
        <v>174.6698596</v>
      </c>
      <c r="H1013">
        <v>20.802992079999999</v>
      </c>
      <c r="I1013" t="s">
        <v>18</v>
      </c>
      <c r="J1013" s="1">
        <v>45541</v>
      </c>
    </row>
    <row r="1014" spans="1:10" x14ac:dyDescent="0.3">
      <c r="A1014">
        <v>21</v>
      </c>
      <c r="B1014" t="s">
        <v>42</v>
      </c>
      <c r="C1014" t="s">
        <v>15</v>
      </c>
      <c r="D1014">
        <v>53.74977938</v>
      </c>
      <c r="E1014">
        <v>733.32444039999996</v>
      </c>
      <c r="F1014">
        <v>453.99161830000003</v>
      </c>
      <c r="G1014">
        <v>136.27535589999999</v>
      </c>
      <c r="H1014">
        <v>32.615198159999998</v>
      </c>
      <c r="I1014" t="s">
        <v>40</v>
      </c>
      <c r="J1014" s="1">
        <v>44947</v>
      </c>
    </row>
    <row r="1015" spans="1:10" x14ac:dyDescent="0.3">
      <c r="A1015">
        <v>701</v>
      </c>
      <c r="B1015" t="s">
        <v>14</v>
      </c>
      <c r="C1015" t="s">
        <v>17</v>
      </c>
      <c r="D1015">
        <v>37.808853890000002</v>
      </c>
      <c r="E1015">
        <v>347.40702809999999</v>
      </c>
      <c r="F1015">
        <v>464.5320979</v>
      </c>
      <c r="G1015">
        <v>310.77723079999998</v>
      </c>
      <c r="H1015">
        <v>37.995272579999998</v>
      </c>
      <c r="I1015" t="s">
        <v>16</v>
      </c>
      <c r="J1015" s="1">
        <v>45627</v>
      </c>
    </row>
    <row r="1016" spans="1:10" x14ac:dyDescent="0.3">
      <c r="A1016">
        <v>72</v>
      </c>
      <c r="C1016" t="s">
        <v>19</v>
      </c>
      <c r="D1016">
        <v>63.172782269999999</v>
      </c>
      <c r="E1016">
        <v>486.748332</v>
      </c>
      <c r="F1016">
        <v>442.50938500000001</v>
      </c>
      <c r="G1016">
        <v>292.19493460000001</v>
      </c>
      <c r="H1016">
        <v>28.366686210000001</v>
      </c>
      <c r="I1016" t="s">
        <v>44</v>
      </c>
      <c r="J1016" s="1">
        <v>44998</v>
      </c>
    </row>
    <row r="1017" spans="1:10" x14ac:dyDescent="0.3">
      <c r="A1017">
        <v>107</v>
      </c>
      <c r="B1017" t="s">
        <v>43</v>
      </c>
      <c r="C1017" t="s">
        <v>19</v>
      </c>
      <c r="D1017">
        <v>54.016255049999998</v>
      </c>
      <c r="E1017">
        <v>572.86847969999997</v>
      </c>
      <c r="F1017">
        <v>522.42574360000003</v>
      </c>
      <c r="G1017">
        <v>174.93769309999999</v>
      </c>
      <c r="H1017">
        <v>25.7900311</v>
      </c>
      <c r="J1017" s="1">
        <v>45033</v>
      </c>
    </row>
    <row r="1018" spans="1:10" x14ac:dyDescent="0.3">
      <c r="A1018">
        <v>271</v>
      </c>
      <c r="B1018" t="s">
        <v>43</v>
      </c>
      <c r="C1018" t="s">
        <v>15</v>
      </c>
      <c r="D1018">
        <v>52.39477462</v>
      </c>
      <c r="E1018">
        <v>420.38292949999999</v>
      </c>
      <c r="F1018">
        <v>441.98818729999999</v>
      </c>
      <c r="G1018">
        <v>212.21054509999999</v>
      </c>
      <c r="H1018">
        <v>26.12849289</v>
      </c>
      <c r="I1018" t="s">
        <v>16</v>
      </c>
      <c r="J1018" s="1">
        <v>45197</v>
      </c>
    </row>
    <row r="1019" spans="1:10" x14ac:dyDescent="0.3">
      <c r="A1019">
        <v>861</v>
      </c>
      <c r="B1019" t="s">
        <v>10</v>
      </c>
      <c r="C1019" t="s">
        <v>15</v>
      </c>
      <c r="D1019">
        <v>54.801461359999998</v>
      </c>
      <c r="E1019">
        <v>457.55512970000001</v>
      </c>
      <c r="F1019">
        <v>546.87651530000005</v>
      </c>
      <c r="G1019">
        <v>182.2439172</v>
      </c>
      <c r="H1019">
        <v>29.661414010000001</v>
      </c>
      <c r="I1019" t="s">
        <v>16</v>
      </c>
      <c r="J1019" s="1">
        <v>45787</v>
      </c>
    </row>
    <row r="1020" spans="1:10" x14ac:dyDescent="0.3">
      <c r="A1020">
        <v>436</v>
      </c>
      <c r="B1020" t="s">
        <v>14</v>
      </c>
      <c r="D1020">
        <v>45.93276917</v>
      </c>
      <c r="E1020">
        <v>670.152107</v>
      </c>
      <c r="F1020">
        <v>427.16438549999998</v>
      </c>
      <c r="G1020">
        <v>225.56633220000001</v>
      </c>
      <c r="H1020">
        <v>27.476402950000001</v>
      </c>
      <c r="I1020" t="s">
        <v>44</v>
      </c>
      <c r="J1020" s="1">
        <v>45362</v>
      </c>
    </row>
    <row r="1021" spans="1:10" x14ac:dyDescent="0.3">
      <c r="A1021">
        <v>103</v>
      </c>
      <c r="B1021" t="s">
        <v>10</v>
      </c>
      <c r="D1021">
        <v>55.328598929999998</v>
      </c>
      <c r="E1021">
        <v>414.15500600000001</v>
      </c>
      <c r="F1021">
        <v>498.37223920000002</v>
      </c>
      <c r="G1021">
        <v>206.2078295</v>
      </c>
      <c r="H1021">
        <v>34.582840900000001</v>
      </c>
      <c r="I1021" t="s">
        <v>18</v>
      </c>
      <c r="J1021" s="1">
        <v>45029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4CE4A-9FB7-4FAA-A9E4-77A64F2E9198}">
  <dimension ref="A1:P1001"/>
  <sheetViews>
    <sheetView tabSelected="1" workbookViewId="0">
      <selection activeCell="K3" sqref="K3"/>
    </sheetView>
  </sheetViews>
  <sheetFormatPr defaultRowHeight="14.4" x14ac:dyDescent="0.3"/>
  <cols>
    <col min="1" max="1" width="11.6640625" style="2" bestFit="1" customWidth="1"/>
    <col min="2" max="2" width="8.77734375" bestFit="1" customWidth="1"/>
    <col min="3" max="3" width="11.21875" customWidth="1"/>
    <col min="4" max="4" width="13.44140625" style="4" customWidth="1"/>
    <col min="5" max="5" width="14.44140625" style="4" customWidth="1"/>
    <col min="6" max="6" width="13.21875" style="4" customWidth="1"/>
    <col min="7" max="7" width="13.33203125" customWidth="1"/>
    <col min="8" max="8" width="15.5546875" style="4" customWidth="1"/>
    <col min="9" max="9" width="14.6640625" customWidth="1"/>
    <col min="10" max="10" width="10.33203125" style="1" bestFit="1" customWidth="1"/>
    <col min="11" max="11" width="16.33203125" bestFit="1" customWidth="1"/>
    <col min="15" max="15" width="21.33203125" bestFit="1" customWidth="1"/>
  </cols>
  <sheetData>
    <row r="1" spans="1:16" x14ac:dyDescent="0.3">
      <c r="A1" s="2" t="s">
        <v>0</v>
      </c>
      <c r="B1" t="s">
        <v>1</v>
      </c>
      <c r="C1" t="s">
        <v>2</v>
      </c>
      <c r="D1" s="4" t="s">
        <v>3</v>
      </c>
      <c r="E1" s="4" t="s">
        <v>4</v>
      </c>
      <c r="F1" s="4" t="s">
        <v>5</v>
      </c>
      <c r="G1" t="s">
        <v>6</v>
      </c>
      <c r="H1" s="4" t="s">
        <v>7</v>
      </c>
      <c r="I1" t="s">
        <v>8</v>
      </c>
      <c r="J1" s="1" t="s">
        <v>9</v>
      </c>
      <c r="K1" t="s">
        <v>39</v>
      </c>
    </row>
    <row r="2" spans="1:16" x14ac:dyDescent="0.3">
      <c r="A2" s="2">
        <v>1</v>
      </c>
      <c r="B2" t="s">
        <v>20</v>
      </c>
      <c r="C2" t="s">
        <v>11</v>
      </c>
      <c r="D2" s="4">
        <v>42.891280700000003</v>
      </c>
      <c r="E2" s="4">
        <v>503.25760000000002</v>
      </c>
      <c r="F2" s="4">
        <v>419.72697909999999</v>
      </c>
      <c r="G2" s="4">
        <v>231.50743879999999</v>
      </c>
      <c r="H2" s="4">
        <v>23.03675621</v>
      </c>
      <c r="I2" t="s">
        <v>20</v>
      </c>
      <c r="J2" s="1">
        <v>44927</v>
      </c>
      <c r="K2" s="4" t="str">
        <f>TRIM(CLEAN(Table1[[#This Row],[Region]]))</f>
        <v>Unknown</v>
      </c>
    </row>
    <row r="3" spans="1:16" x14ac:dyDescent="0.3">
      <c r="A3" s="2">
        <v>2</v>
      </c>
      <c r="B3" t="s">
        <v>10</v>
      </c>
      <c r="C3" t="s">
        <v>15</v>
      </c>
      <c r="D3" s="4">
        <v>43.308789189999999</v>
      </c>
      <c r="E3" s="4">
        <v>539.05228980000004</v>
      </c>
      <c r="F3" s="4">
        <v>420.86937469999998</v>
      </c>
      <c r="G3" s="4">
        <v>106.1640635</v>
      </c>
      <c r="H3" s="4">
        <v>36.416895830000001</v>
      </c>
      <c r="I3" t="s">
        <v>16</v>
      </c>
      <c r="J3" s="1">
        <v>44928</v>
      </c>
      <c r="K3" s="4" t="str">
        <f>TRIM(CLEAN(Table1[[#This Row],[Region]]))</f>
        <v>West</v>
      </c>
    </row>
    <row r="4" spans="1:16" x14ac:dyDescent="0.3">
      <c r="A4" s="2">
        <v>3</v>
      </c>
      <c r="B4" t="s">
        <v>14</v>
      </c>
      <c r="C4" t="s">
        <v>19</v>
      </c>
      <c r="D4" s="4">
        <v>50.742062140000002</v>
      </c>
      <c r="E4" s="4">
        <v>525.52733869999997</v>
      </c>
      <c r="F4" s="4">
        <v>379.66716050000002</v>
      </c>
      <c r="G4" s="4">
        <v>220.52660069999999</v>
      </c>
      <c r="H4" s="4">
        <v>41.02764784</v>
      </c>
      <c r="I4" t="s">
        <v>16</v>
      </c>
      <c r="J4" s="1">
        <v>44929</v>
      </c>
      <c r="K4" s="4" t="str">
        <f>TRIM(CLEAN(Table1[[#This Row],[Region]]))</f>
        <v>North</v>
      </c>
      <c r="O4" t="s">
        <v>22</v>
      </c>
      <c r="P4">
        <f>MEDIAN(Table1[Price_per_kg])</f>
        <v>50.539879999999997</v>
      </c>
    </row>
    <row r="5" spans="1:16" x14ac:dyDescent="0.3">
      <c r="A5" s="2">
        <v>4</v>
      </c>
      <c r="B5" t="s">
        <v>20</v>
      </c>
      <c r="C5" t="s">
        <v>19</v>
      </c>
      <c r="D5" s="4">
        <v>47.705973970000002</v>
      </c>
      <c r="E5" s="4">
        <v>604.58967150000001</v>
      </c>
      <c r="F5" s="4">
        <v>253.82563690000001</v>
      </c>
      <c r="G5" s="4">
        <v>244.0142539</v>
      </c>
      <c r="H5" s="4">
        <v>35.996683900000001</v>
      </c>
      <c r="I5" t="s">
        <v>20</v>
      </c>
      <c r="J5" s="1">
        <v>44930</v>
      </c>
      <c r="K5" s="4" t="str">
        <f>TRIM(CLEAN(Table1[[#This Row],[Region]]))</f>
        <v>Unknown</v>
      </c>
      <c r="O5" t="s">
        <v>23</v>
      </c>
      <c r="P5">
        <f>MEDIAN(Table1[Demand_Tons])</f>
        <v>503.25760000000002</v>
      </c>
    </row>
    <row r="6" spans="1:16" x14ac:dyDescent="0.3">
      <c r="A6" s="2">
        <v>5</v>
      </c>
      <c r="B6" t="s">
        <v>13</v>
      </c>
      <c r="C6" t="s">
        <v>19</v>
      </c>
      <c r="D6" s="4">
        <v>59.505027550000001</v>
      </c>
      <c r="E6" s="4">
        <v>355.19436280000002</v>
      </c>
      <c r="F6" s="4">
        <v>507.51769539999998</v>
      </c>
      <c r="G6" s="4">
        <v>229.43263400000001</v>
      </c>
      <c r="H6" s="4">
        <v>23.704671869999999</v>
      </c>
      <c r="I6" t="s">
        <v>18</v>
      </c>
      <c r="J6" s="1">
        <v>44931</v>
      </c>
      <c r="K6" s="4" t="str">
        <f>TRIM(CLEAN(Table1[[#This Row],[Region]]))</f>
        <v>East</v>
      </c>
      <c r="O6" t="s">
        <v>24</v>
      </c>
      <c r="P6">
        <f>AVERAGE(Table1[Supply_Tons])</f>
        <v>480.48428546630015</v>
      </c>
    </row>
    <row r="7" spans="1:16" x14ac:dyDescent="0.3">
      <c r="A7" s="2">
        <v>6</v>
      </c>
      <c r="B7" t="s">
        <v>20</v>
      </c>
      <c r="C7" t="s">
        <v>17</v>
      </c>
      <c r="D7" s="4">
        <v>46.570241719999999</v>
      </c>
      <c r="E7" s="4">
        <v>415.72574100000003</v>
      </c>
      <c r="F7" s="4">
        <v>685.52012549999995</v>
      </c>
      <c r="G7" s="4">
        <v>195.80363729999999</v>
      </c>
      <c r="H7" s="4">
        <v>33.935082850000001</v>
      </c>
      <c r="I7" t="s">
        <v>18</v>
      </c>
      <c r="J7" s="1">
        <v>44932</v>
      </c>
      <c r="K7" s="4" t="str">
        <f>TRIM(CLEAN(Table1[[#This Row],[Region]]))</f>
        <v>Unknown</v>
      </c>
      <c r="O7" t="s">
        <v>25</v>
      </c>
      <c r="P7">
        <f>AVERAGE(Table1[Rainfall_mm])</f>
        <v>199.0784591105799</v>
      </c>
    </row>
    <row r="8" spans="1:16" x14ac:dyDescent="0.3">
      <c r="A8" s="2">
        <v>7</v>
      </c>
      <c r="B8" t="s">
        <v>14</v>
      </c>
      <c r="C8" t="s">
        <v>11</v>
      </c>
      <c r="D8" s="4">
        <v>55.055018109999999</v>
      </c>
      <c r="E8" s="4">
        <v>563.97873319999997</v>
      </c>
      <c r="F8" s="4">
        <v>472.48025719999998</v>
      </c>
      <c r="G8" s="4">
        <v>216.66200180000001</v>
      </c>
      <c r="H8" s="4">
        <v>35.118881510000001</v>
      </c>
      <c r="I8" t="s">
        <v>18</v>
      </c>
      <c r="J8" s="1">
        <v>44933</v>
      </c>
      <c r="K8" s="4" t="str">
        <f>TRIM(CLEAN(Table1[[#This Row],[Region]]))</f>
        <v>North</v>
      </c>
      <c r="O8" t="s">
        <v>26</v>
      </c>
      <c r="P8">
        <f>AVERAGE(Table1[Temperature_C])</f>
        <v>29.664101214600031</v>
      </c>
    </row>
    <row r="9" spans="1:16" x14ac:dyDescent="0.3">
      <c r="A9" s="2">
        <v>8</v>
      </c>
      <c r="B9" t="s">
        <v>20</v>
      </c>
      <c r="C9" t="s">
        <v>19</v>
      </c>
      <c r="D9" s="4">
        <v>49.710751160000001</v>
      </c>
      <c r="E9" s="4">
        <v>427.47310220000003</v>
      </c>
      <c r="F9" s="4">
        <v>257.92420299999998</v>
      </c>
      <c r="G9" s="4">
        <v>208.4922349</v>
      </c>
      <c r="H9" s="4">
        <v>27.982811510000001</v>
      </c>
      <c r="I9" t="s">
        <v>18</v>
      </c>
      <c r="J9" s="1">
        <v>44934</v>
      </c>
      <c r="K9" s="4" t="str">
        <f>TRIM(CLEAN(Table1[[#This Row],[Region]]))</f>
        <v>Unknown</v>
      </c>
    </row>
    <row r="10" spans="1:16" x14ac:dyDescent="0.3">
      <c r="A10" s="2">
        <v>9</v>
      </c>
      <c r="B10" t="s">
        <v>12</v>
      </c>
      <c r="C10" t="s">
        <v>11</v>
      </c>
      <c r="D10" s="4">
        <v>52.696693570000001</v>
      </c>
      <c r="E10" s="4">
        <v>524.04712489999997</v>
      </c>
      <c r="F10" s="4">
        <v>573.64113740000005</v>
      </c>
      <c r="G10" s="4">
        <v>115.5271331</v>
      </c>
      <c r="H10" s="4">
        <v>32.444636199999998</v>
      </c>
      <c r="I10" t="s">
        <v>16</v>
      </c>
      <c r="J10" s="1">
        <v>44935</v>
      </c>
      <c r="K10" s="4" t="str">
        <f>TRIM(CLEAN(Table1[[#This Row],[Region]]))</f>
        <v>South</v>
      </c>
    </row>
    <row r="11" spans="1:16" x14ac:dyDescent="0.3">
      <c r="A11" s="2">
        <v>10</v>
      </c>
      <c r="B11" t="s">
        <v>13</v>
      </c>
      <c r="C11" t="s">
        <v>19</v>
      </c>
      <c r="D11" s="4">
        <v>47.699435639999997</v>
      </c>
      <c r="E11" s="4">
        <v>258.02547529999998</v>
      </c>
      <c r="F11" s="4">
        <v>285.02424120000001</v>
      </c>
      <c r="G11" s="4">
        <v>209.6660162</v>
      </c>
      <c r="H11" s="4">
        <v>27.718484839999999</v>
      </c>
      <c r="I11" t="s">
        <v>18</v>
      </c>
      <c r="J11" s="1">
        <v>44936</v>
      </c>
      <c r="K11" s="4" t="str">
        <f>TRIM(CLEAN(Table1[[#This Row],[Region]]))</f>
        <v>East</v>
      </c>
    </row>
    <row r="12" spans="1:16" x14ac:dyDescent="0.3">
      <c r="A12" s="2">
        <v>11</v>
      </c>
      <c r="B12" t="s">
        <v>20</v>
      </c>
      <c r="C12" t="s">
        <v>17</v>
      </c>
      <c r="D12" s="4">
        <v>57.077155410000003</v>
      </c>
      <c r="E12" s="4">
        <v>771.59465720000003</v>
      </c>
      <c r="F12" s="4">
        <v>334.91587240000001</v>
      </c>
      <c r="G12" s="4">
        <v>181.64647969999999</v>
      </c>
      <c r="H12" s="4">
        <v>37.644644970000002</v>
      </c>
      <c r="I12" t="s">
        <v>16</v>
      </c>
      <c r="J12" s="1">
        <v>44937</v>
      </c>
      <c r="K12" s="4" t="str">
        <f>TRIM(CLEAN(Table1[[#This Row],[Region]]))</f>
        <v>Unknown</v>
      </c>
    </row>
    <row r="13" spans="1:16" x14ac:dyDescent="0.3">
      <c r="A13" s="2">
        <v>12</v>
      </c>
      <c r="B13" t="s">
        <v>13</v>
      </c>
      <c r="C13" t="s">
        <v>17</v>
      </c>
      <c r="D13" s="4">
        <v>57.225400800000003</v>
      </c>
      <c r="E13" s="4">
        <v>473.0281468</v>
      </c>
      <c r="F13" s="4">
        <v>451.39941929999998</v>
      </c>
      <c r="G13" s="4">
        <v>164.7588915</v>
      </c>
      <c r="H13" s="4">
        <v>31.826854610000002</v>
      </c>
      <c r="I13" t="s">
        <v>16</v>
      </c>
      <c r="J13" s="1">
        <v>44938</v>
      </c>
      <c r="K13" s="4" t="str">
        <f>TRIM(CLEAN(Table1[[#This Row],[Region]]))</f>
        <v>East</v>
      </c>
    </row>
    <row r="14" spans="1:16" x14ac:dyDescent="0.3">
      <c r="A14" s="2">
        <v>13</v>
      </c>
      <c r="B14" t="s">
        <v>13</v>
      </c>
      <c r="C14" t="s">
        <v>19</v>
      </c>
      <c r="D14" s="4">
        <v>54.599290259999997</v>
      </c>
      <c r="E14" s="4">
        <v>619.39562599999999</v>
      </c>
      <c r="F14" s="4">
        <v>494.74121259999998</v>
      </c>
      <c r="G14" s="4">
        <v>324.24849769999997</v>
      </c>
      <c r="H14" s="4">
        <v>25.414222540000001</v>
      </c>
      <c r="I14" t="s">
        <v>18</v>
      </c>
      <c r="J14" s="1">
        <v>44939</v>
      </c>
      <c r="K14" s="4" t="str">
        <f>TRIM(CLEAN(Table1[[#This Row],[Region]]))</f>
        <v>East</v>
      </c>
    </row>
    <row r="15" spans="1:16" x14ac:dyDescent="0.3">
      <c r="A15" s="2">
        <v>14</v>
      </c>
      <c r="B15" t="s">
        <v>14</v>
      </c>
      <c r="C15" t="s">
        <v>11</v>
      </c>
      <c r="D15" s="4">
        <v>56.075143269999998</v>
      </c>
      <c r="E15" s="4">
        <v>466.3102174</v>
      </c>
      <c r="F15" s="4">
        <v>358.9603199</v>
      </c>
      <c r="G15" s="4">
        <v>262.630786</v>
      </c>
      <c r="H15" s="4">
        <v>33.34904049</v>
      </c>
      <c r="I15" t="s">
        <v>16</v>
      </c>
      <c r="J15" s="1">
        <v>44940</v>
      </c>
      <c r="K15" s="4" t="str">
        <f>TRIM(CLEAN(Table1[[#This Row],[Region]]))</f>
        <v>North</v>
      </c>
    </row>
    <row r="16" spans="1:16" x14ac:dyDescent="0.3">
      <c r="A16" s="2">
        <v>15</v>
      </c>
      <c r="B16" t="s">
        <v>10</v>
      </c>
      <c r="C16" t="s">
        <v>20</v>
      </c>
      <c r="D16" s="4">
        <v>40.556312220000002</v>
      </c>
      <c r="E16" s="4">
        <v>541.46985289999998</v>
      </c>
      <c r="F16" s="4">
        <v>446.72207320000001</v>
      </c>
      <c r="G16" s="4">
        <v>142.49139700000001</v>
      </c>
      <c r="H16" s="4">
        <v>35.293903370000002</v>
      </c>
      <c r="I16" t="s">
        <v>20</v>
      </c>
      <c r="J16" s="1">
        <v>44941</v>
      </c>
      <c r="K16" s="4" t="str">
        <f>TRIM(CLEAN(Table1[[#This Row],[Region]]))</f>
        <v>West</v>
      </c>
    </row>
    <row r="17" spans="1:11" x14ac:dyDescent="0.3">
      <c r="A17" s="2">
        <v>16</v>
      </c>
      <c r="B17" t="s">
        <v>13</v>
      </c>
      <c r="C17" t="s">
        <v>19</v>
      </c>
      <c r="D17" s="4">
        <v>53.232457629999999</v>
      </c>
      <c r="E17" s="4">
        <v>649.19196460000001</v>
      </c>
      <c r="F17" s="4">
        <v>565.81948809999994</v>
      </c>
      <c r="G17" s="4">
        <v>217.3318098</v>
      </c>
      <c r="H17" s="4">
        <v>30.99065826</v>
      </c>
      <c r="I17" t="s">
        <v>18</v>
      </c>
      <c r="J17" s="1">
        <v>44942</v>
      </c>
      <c r="K17" s="4" t="str">
        <f>TRIM(CLEAN(Table1[[#This Row],[Region]]))</f>
        <v>East</v>
      </c>
    </row>
    <row r="18" spans="1:11" x14ac:dyDescent="0.3">
      <c r="A18" s="2">
        <v>17</v>
      </c>
      <c r="B18" t="s">
        <v>21</v>
      </c>
      <c r="C18" t="s">
        <v>11</v>
      </c>
      <c r="D18" s="4">
        <v>62.492017670000003</v>
      </c>
      <c r="E18" s="4">
        <v>616.58060190000003</v>
      </c>
      <c r="F18" s="4">
        <v>582.26146619999997</v>
      </c>
      <c r="G18" s="4">
        <v>272.90126379999998</v>
      </c>
      <c r="H18" s="4">
        <v>32.397208460000002</v>
      </c>
      <c r="I18" t="s">
        <v>16</v>
      </c>
      <c r="J18" s="1">
        <v>44943</v>
      </c>
      <c r="K18" s="4" t="str">
        <f>TRIM(CLEAN(Table1[[#This Row],[Region]]))</f>
        <v>South</v>
      </c>
    </row>
    <row r="19" spans="1:11" x14ac:dyDescent="0.3">
      <c r="A19" s="2">
        <v>18</v>
      </c>
      <c r="B19" t="s">
        <v>14</v>
      </c>
      <c r="C19" t="s">
        <v>19</v>
      </c>
      <c r="D19" s="4">
        <v>54.91404567</v>
      </c>
      <c r="E19" s="4">
        <v>479.55450200000001</v>
      </c>
      <c r="F19" s="4">
        <v>630.17477059999999</v>
      </c>
      <c r="G19" s="4">
        <v>125.1900423</v>
      </c>
      <c r="H19" s="4">
        <v>29.65123285</v>
      </c>
      <c r="I19" t="s">
        <v>18</v>
      </c>
      <c r="J19" s="1">
        <v>44944</v>
      </c>
      <c r="K19" s="4" t="str">
        <f>TRIM(CLEAN(Table1[[#This Row],[Region]]))</f>
        <v>North</v>
      </c>
    </row>
    <row r="20" spans="1:11" x14ac:dyDescent="0.3">
      <c r="A20" s="2">
        <v>19</v>
      </c>
      <c r="B20" t="s">
        <v>12</v>
      </c>
      <c r="C20" t="s">
        <v>20</v>
      </c>
      <c r="D20" s="4">
        <v>39.692824969999997</v>
      </c>
      <c r="E20" s="4">
        <v>486.47456749999998</v>
      </c>
      <c r="F20" s="4">
        <v>709.13023829999997</v>
      </c>
      <c r="G20" s="4">
        <v>203.84915710000001</v>
      </c>
      <c r="H20" s="4">
        <v>24.328597729999998</v>
      </c>
      <c r="I20" t="s">
        <v>16</v>
      </c>
      <c r="J20" s="1">
        <v>44945</v>
      </c>
      <c r="K20" s="4" t="str">
        <f>TRIM(CLEAN(Table1[[#This Row],[Region]]))</f>
        <v>South</v>
      </c>
    </row>
    <row r="21" spans="1:11" x14ac:dyDescent="0.3">
      <c r="A21" s="2">
        <v>20</v>
      </c>
      <c r="B21" t="s">
        <v>10</v>
      </c>
      <c r="C21" t="s">
        <v>15</v>
      </c>
      <c r="D21" s="4">
        <v>49.502334900000001</v>
      </c>
      <c r="E21" s="4">
        <v>600.35665600000004</v>
      </c>
      <c r="F21" s="4">
        <v>577.18671859999995</v>
      </c>
      <c r="G21" s="4">
        <v>206.2036363</v>
      </c>
      <c r="H21" s="4">
        <v>29.241331209999998</v>
      </c>
      <c r="I21" t="s">
        <v>16</v>
      </c>
      <c r="J21" s="1">
        <v>44946</v>
      </c>
      <c r="K21" s="4" t="str">
        <f>TRIM(CLEAN(Table1[[#This Row],[Region]]))</f>
        <v>West</v>
      </c>
    </row>
    <row r="22" spans="1:11" x14ac:dyDescent="0.3">
      <c r="A22" s="2">
        <v>21</v>
      </c>
      <c r="B22" t="s">
        <v>21</v>
      </c>
      <c r="C22" t="s">
        <v>15</v>
      </c>
      <c r="D22" s="4">
        <v>53.74977938</v>
      </c>
      <c r="E22" s="4">
        <v>733.32444039999996</v>
      </c>
      <c r="F22" s="4">
        <v>453.99161830000003</v>
      </c>
      <c r="G22" s="4">
        <v>136.27535589999999</v>
      </c>
      <c r="H22" s="4">
        <v>32.615198159999998</v>
      </c>
      <c r="I22" t="s">
        <v>18</v>
      </c>
      <c r="J22" s="1">
        <v>44947</v>
      </c>
      <c r="K22" s="4" t="str">
        <f>TRIM(CLEAN(Table1[[#This Row],[Region]]))</f>
        <v>South</v>
      </c>
    </row>
    <row r="23" spans="1:11" x14ac:dyDescent="0.3">
      <c r="A23" s="2">
        <v>22</v>
      </c>
      <c r="B23" t="s">
        <v>21</v>
      </c>
      <c r="C23" t="s">
        <v>15</v>
      </c>
      <c r="D23" s="4">
        <v>42.426004829999997</v>
      </c>
      <c r="E23" s="4">
        <v>519.22826740000005</v>
      </c>
      <c r="F23" s="4">
        <v>583.11765490000005</v>
      </c>
      <c r="G23" s="4">
        <v>218.9775152</v>
      </c>
      <c r="H23" s="4">
        <v>29.359865660000001</v>
      </c>
      <c r="I23" t="s">
        <v>18</v>
      </c>
      <c r="J23" s="1">
        <v>44948</v>
      </c>
      <c r="K23" s="4" t="str">
        <f>TRIM(CLEAN(Table1[[#This Row],[Region]]))</f>
        <v>South</v>
      </c>
    </row>
    <row r="24" spans="1:11" x14ac:dyDescent="0.3">
      <c r="A24" s="2">
        <v>23</v>
      </c>
      <c r="B24" t="s">
        <v>12</v>
      </c>
      <c r="C24" t="s">
        <v>15</v>
      </c>
      <c r="D24" s="4">
        <v>36.417288030000002</v>
      </c>
      <c r="E24" s="4">
        <v>695.70636409999997</v>
      </c>
      <c r="F24" s="4">
        <v>536.00594809999996</v>
      </c>
      <c r="G24" s="4">
        <v>255.8123195</v>
      </c>
      <c r="H24" s="4">
        <v>34.003827129999998</v>
      </c>
      <c r="I24" t="s">
        <v>16</v>
      </c>
      <c r="J24" s="1">
        <v>44949</v>
      </c>
      <c r="K24" s="4" t="str">
        <f>TRIM(CLEAN(Table1[[#This Row],[Region]]))</f>
        <v>South</v>
      </c>
    </row>
    <row r="25" spans="1:11" x14ac:dyDescent="0.3">
      <c r="A25" s="2">
        <v>24</v>
      </c>
      <c r="B25" t="s">
        <v>10</v>
      </c>
      <c r="C25" t="s">
        <v>19</v>
      </c>
      <c r="D25" s="4">
        <v>46.839021320000001</v>
      </c>
      <c r="E25" s="4">
        <v>475.85855900000001</v>
      </c>
      <c r="F25" s="4">
        <v>540.76403730000004</v>
      </c>
      <c r="G25" s="4">
        <v>275.40237960000002</v>
      </c>
      <c r="H25" s="4">
        <v>28.039092190000002</v>
      </c>
      <c r="I25" t="s">
        <v>16</v>
      </c>
      <c r="J25" s="1">
        <v>44950</v>
      </c>
      <c r="K25" s="4" t="str">
        <f>TRIM(CLEAN(Table1[[#This Row],[Region]]))</f>
        <v>West</v>
      </c>
    </row>
    <row r="26" spans="1:11" x14ac:dyDescent="0.3">
      <c r="A26" s="2">
        <v>25</v>
      </c>
      <c r="B26" t="s">
        <v>14</v>
      </c>
      <c r="C26" t="s">
        <v>15</v>
      </c>
      <c r="D26" s="4">
        <v>42.59167592</v>
      </c>
      <c r="E26" s="4">
        <v>595.19603640000003</v>
      </c>
      <c r="F26" s="4">
        <v>501.26625419999999</v>
      </c>
      <c r="G26" s="4">
        <v>187.53179489999999</v>
      </c>
      <c r="H26" s="4">
        <v>28.367045860000001</v>
      </c>
      <c r="I26" t="s">
        <v>16</v>
      </c>
      <c r="J26" s="1">
        <v>44951</v>
      </c>
      <c r="K26" s="4" t="str">
        <f>TRIM(CLEAN(Table1[[#This Row],[Region]]))</f>
        <v>North</v>
      </c>
    </row>
    <row r="27" spans="1:11" x14ac:dyDescent="0.3">
      <c r="A27" s="2">
        <v>26</v>
      </c>
      <c r="B27" t="s">
        <v>14</v>
      </c>
      <c r="C27" t="s">
        <v>20</v>
      </c>
      <c r="D27" s="4">
        <v>49.857109690000001</v>
      </c>
      <c r="E27" s="4">
        <v>610.11557619999996</v>
      </c>
      <c r="F27" s="4">
        <v>370.55350770000001</v>
      </c>
      <c r="G27" s="4">
        <v>199.07849999999999</v>
      </c>
      <c r="H27" s="4">
        <v>34.155599989999999</v>
      </c>
      <c r="I27" t="s">
        <v>18</v>
      </c>
      <c r="J27" s="1">
        <v>44952</v>
      </c>
      <c r="K27" s="4" t="str">
        <f>TRIM(CLEAN(Table1[[#This Row],[Region]]))</f>
        <v>North</v>
      </c>
    </row>
    <row r="28" spans="1:11" x14ac:dyDescent="0.3">
      <c r="A28" s="2">
        <v>27</v>
      </c>
      <c r="B28" t="s">
        <v>10</v>
      </c>
      <c r="C28" t="s">
        <v>17</v>
      </c>
      <c r="D28" s="4">
        <v>34.085953529999998</v>
      </c>
      <c r="E28" s="4">
        <v>459.0039496</v>
      </c>
      <c r="F28" s="4">
        <v>356.6284311</v>
      </c>
      <c r="G28" s="4">
        <v>97.101662329999996</v>
      </c>
      <c r="H28" s="4">
        <v>31.109262579999999</v>
      </c>
      <c r="I28" t="s">
        <v>20</v>
      </c>
      <c r="J28" s="1">
        <v>44953</v>
      </c>
      <c r="K28" s="4" t="str">
        <f>TRIM(CLEAN(Table1[[#This Row],[Region]]))</f>
        <v>West</v>
      </c>
    </row>
    <row r="29" spans="1:11" x14ac:dyDescent="0.3">
      <c r="A29" s="2">
        <v>28</v>
      </c>
      <c r="B29" t="s">
        <v>12</v>
      </c>
      <c r="C29" t="s">
        <v>17</v>
      </c>
      <c r="D29" s="4">
        <v>55.647010629999997</v>
      </c>
      <c r="E29" s="4">
        <v>425.29219210000002</v>
      </c>
      <c r="F29" s="4">
        <v>468.34581589999999</v>
      </c>
      <c r="G29" s="4">
        <v>217.8108355</v>
      </c>
      <c r="H29" s="4">
        <v>27.941392090000001</v>
      </c>
      <c r="I29" t="s">
        <v>20</v>
      </c>
      <c r="J29" s="1">
        <v>44954</v>
      </c>
      <c r="K29" s="4" t="str">
        <f>TRIM(CLEAN(Table1[[#This Row],[Region]]))</f>
        <v>South</v>
      </c>
    </row>
    <row r="30" spans="1:11" x14ac:dyDescent="0.3">
      <c r="A30" s="2">
        <v>29</v>
      </c>
      <c r="B30" t="s">
        <v>21</v>
      </c>
      <c r="C30" t="s">
        <v>19</v>
      </c>
      <c r="D30" s="4">
        <v>43.653949650000001</v>
      </c>
      <c r="E30" s="4">
        <v>614.5389189</v>
      </c>
      <c r="F30" s="4">
        <v>497.86920909999998</v>
      </c>
      <c r="G30" s="4">
        <v>129.38528400000001</v>
      </c>
      <c r="H30" s="4">
        <v>35.169026879999997</v>
      </c>
      <c r="I30" t="s">
        <v>18</v>
      </c>
      <c r="J30" s="1">
        <v>44955</v>
      </c>
      <c r="K30" s="4" t="str">
        <f>TRIM(CLEAN(Table1[[#This Row],[Region]]))</f>
        <v>South</v>
      </c>
    </row>
    <row r="31" spans="1:11" x14ac:dyDescent="0.3">
      <c r="A31" s="2">
        <v>30</v>
      </c>
      <c r="B31" t="s">
        <v>14</v>
      </c>
      <c r="C31" t="s">
        <v>15</v>
      </c>
      <c r="D31" s="4">
        <v>59.95752237</v>
      </c>
      <c r="E31" s="4">
        <v>446.84430630000003</v>
      </c>
      <c r="F31" s="4">
        <v>398.46708919999998</v>
      </c>
      <c r="G31" s="4">
        <v>204.5091319</v>
      </c>
      <c r="H31" s="4">
        <v>26.556321409999999</v>
      </c>
      <c r="I31" t="s">
        <v>18</v>
      </c>
      <c r="J31" s="1">
        <v>44956</v>
      </c>
      <c r="K31" s="4" t="str">
        <f>TRIM(CLEAN(Table1[[#This Row],[Region]]))</f>
        <v>North</v>
      </c>
    </row>
    <row r="32" spans="1:11" x14ac:dyDescent="0.3">
      <c r="A32" s="2">
        <v>31</v>
      </c>
      <c r="B32" t="s">
        <v>10</v>
      </c>
      <c r="C32" t="s">
        <v>15</v>
      </c>
      <c r="D32" s="4">
        <v>47.231011600000002</v>
      </c>
      <c r="E32" s="4">
        <v>410.56500870000002</v>
      </c>
      <c r="F32" s="4">
        <v>530.80103380000003</v>
      </c>
      <c r="G32" s="4">
        <v>173.9046625</v>
      </c>
      <c r="H32" s="4">
        <v>26.3652552</v>
      </c>
      <c r="I32" t="s">
        <v>18</v>
      </c>
      <c r="J32" s="1">
        <v>44957</v>
      </c>
      <c r="K32" s="4" t="str">
        <f>TRIM(CLEAN(Table1[[#This Row],[Region]]))</f>
        <v>West</v>
      </c>
    </row>
    <row r="33" spans="1:11" x14ac:dyDescent="0.3">
      <c r="A33" s="2">
        <v>32</v>
      </c>
      <c r="B33" t="s">
        <v>14</v>
      </c>
      <c r="C33" t="s">
        <v>15</v>
      </c>
      <c r="D33" s="4">
        <v>49.746109539999999</v>
      </c>
      <c r="E33" s="4">
        <v>431.60404979999998</v>
      </c>
      <c r="F33" s="4">
        <v>729.69190849999995</v>
      </c>
      <c r="G33" s="4">
        <v>225.34387280000001</v>
      </c>
      <c r="H33" s="4">
        <v>15.85275594</v>
      </c>
      <c r="I33" t="s">
        <v>20</v>
      </c>
      <c r="J33" s="1">
        <v>44958</v>
      </c>
      <c r="K33" s="4" t="str">
        <f>TRIM(CLEAN(Table1[[#This Row],[Region]]))</f>
        <v>North</v>
      </c>
    </row>
    <row r="34" spans="1:11" x14ac:dyDescent="0.3">
      <c r="A34" s="2">
        <v>33</v>
      </c>
      <c r="B34" t="s">
        <v>14</v>
      </c>
      <c r="C34" t="s">
        <v>19</v>
      </c>
      <c r="D34" s="4">
        <v>48.269651209999999</v>
      </c>
      <c r="E34" s="4">
        <v>446.4386662</v>
      </c>
      <c r="F34" s="4">
        <v>270.6803137</v>
      </c>
      <c r="G34" s="4">
        <v>193.65596429999999</v>
      </c>
      <c r="H34" s="4">
        <v>27.230157259999999</v>
      </c>
      <c r="I34" t="s">
        <v>16</v>
      </c>
      <c r="J34" s="1">
        <v>44959</v>
      </c>
      <c r="K34" s="4" t="str">
        <f>TRIM(CLEAN(Table1[[#This Row],[Region]]))</f>
        <v>North</v>
      </c>
    </row>
    <row r="35" spans="1:11" x14ac:dyDescent="0.3">
      <c r="A35" s="2">
        <v>34</v>
      </c>
      <c r="B35" t="s">
        <v>13</v>
      </c>
      <c r="C35" t="s">
        <v>11</v>
      </c>
      <c r="D35" s="4">
        <v>43.118403100000002</v>
      </c>
      <c r="E35" s="4">
        <v>585.66171050000003</v>
      </c>
      <c r="F35" s="4">
        <v>549.86933729999998</v>
      </c>
      <c r="G35" s="4">
        <v>158.7007911</v>
      </c>
      <c r="H35" s="4">
        <v>36.543583390000002</v>
      </c>
      <c r="I35" t="s">
        <v>16</v>
      </c>
      <c r="J35" s="1">
        <v>44960</v>
      </c>
      <c r="K35" s="4" t="str">
        <f>TRIM(CLEAN(Table1[[#This Row],[Region]]))</f>
        <v>East</v>
      </c>
    </row>
    <row r="36" spans="1:11" x14ac:dyDescent="0.3">
      <c r="A36" s="2">
        <v>35</v>
      </c>
      <c r="B36" t="s">
        <v>13</v>
      </c>
      <c r="C36" t="s">
        <v>19</v>
      </c>
      <c r="D36" s="4">
        <v>74.722794620000002</v>
      </c>
      <c r="E36" s="4">
        <v>551.50426730000004</v>
      </c>
      <c r="F36" s="4">
        <v>472.08304550000003</v>
      </c>
      <c r="G36" s="4">
        <v>161.9854526</v>
      </c>
      <c r="H36" s="4">
        <v>19.638536569999999</v>
      </c>
      <c r="I36" t="s">
        <v>18</v>
      </c>
      <c r="J36" s="1">
        <v>44961</v>
      </c>
      <c r="K36" s="4" t="str">
        <f>TRIM(CLEAN(Table1[[#This Row],[Region]]))</f>
        <v>East</v>
      </c>
    </row>
    <row r="37" spans="1:11" x14ac:dyDescent="0.3">
      <c r="A37" s="2">
        <v>36</v>
      </c>
      <c r="B37" t="s">
        <v>20</v>
      </c>
      <c r="C37" t="s">
        <v>11</v>
      </c>
      <c r="D37" s="4">
        <v>45.04133822</v>
      </c>
      <c r="E37" s="4">
        <v>571.56582449999996</v>
      </c>
      <c r="F37" s="4">
        <v>534.07866660000002</v>
      </c>
      <c r="G37" s="4">
        <v>296.62297489999997</v>
      </c>
      <c r="H37" s="4">
        <v>25.2403993</v>
      </c>
      <c r="I37" t="s">
        <v>20</v>
      </c>
      <c r="J37" s="1">
        <v>44962</v>
      </c>
      <c r="K37" s="4" t="str">
        <f>TRIM(CLEAN(Table1[[#This Row],[Region]]))</f>
        <v>Unknown</v>
      </c>
    </row>
    <row r="38" spans="1:11" x14ac:dyDescent="0.3">
      <c r="A38" s="2">
        <v>37</v>
      </c>
      <c r="B38" t="s">
        <v>12</v>
      </c>
      <c r="C38" t="s">
        <v>15</v>
      </c>
      <c r="D38" s="4">
        <v>60.235215220000001</v>
      </c>
      <c r="E38" s="4">
        <v>542.13798110000005</v>
      </c>
      <c r="F38" s="4">
        <v>428.31423590000003</v>
      </c>
      <c r="G38" s="4">
        <v>222.1761869</v>
      </c>
      <c r="H38" s="4">
        <v>32.195342779999997</v>
      </c>
      <c r="I38" t="s">
        <v>18</v>
      </c>
      <c r="J38" s="1">
        <v>44963</v>
      </c>
      <c r="K38" s="4" t="str">
        <f>TRIM(CLEAN(Table1[[#This Row],[Region]]))</f>
        <v>South</v>
      </c>
    </row>
    <row r="39" spans="1:11" x14ac:dyDescent="0.3">
      <c r="A39" s="2">
        <v>38</v>
      </c>
      <c r="B39" t="s">
        <v>10</v>
      </c>
      <c r="C39" t="s">
        <v>15</v>
      </c>
      <c r="D39" s="4">
        <v>39.063710540000002</v>
      </c>
      <c r="E39" s="4">
        <v>503.25760000000002</v>
      </c>
      <c r="F39" s="4">
        <v>462.47281379999998</v>
      </c>
      <c r="G39" s="4">
        <v>114.8935647</v>
      </c>
      <c r="H39" s="4">
        <v>18.775666130000001</v>
      </c>
      <c r="I39" t="s">
        <v>20</v>
      </c>
      <c r="J39" s="1">
        <v>44964</v>
      </c>
      <c r="K39" s="4" t="str">
        <f>TRIM(CLEAN(Table1[[#This Row],[Region]]))</f>
        <v>West</v>
      </c>
    </row>
    <row r="40" spans="1:11" x14ac:dyDescent="0.3">
      <c r="A40" s="2">
        <v>39</v>
      </c>
      <c r="B40" t="s">
        <v>10</v>
      </c>
      <c r="C40" t="s">
        <v>19</v>
      </c>
      <c r="D40" s="4">
        <v>53.721313909999999</v>
      </c>
      <c r="E40" s="4">
        <v>569.71028560000002</v>
      </c>
      <c r="F40" s="4">
        <v>495.54005410000002</v>
      </c>
      <c r="G40" s="4">
        <v>227.53938679999999</v>
      </c>
      <c r="H40" s="4">
        <v>27.446506930000002</v>
      </c>
      <c r="I40" t="s">
        <v>16</v>
      </c>
      <c r="J40" s="1">
        <v>44965</v>
      </c>
      <c r="K40" s="4" t="str">
        <f>TRIM(CLEAN(Table1[[#This Row],[Region]]))</f>
        <v>West</v>
      </c>
    </row>
    <row r="41" spans="1:11" x14ac:dyDescent="0.3">
      <c r="A41" s="2">
        <v>40</v>
      </c>
      <c r="B41" t="s">
        <v>20</v>
      </c>
      <c r="C41" t="s">
        <v>19</v>
      </c>
      <c r="D41" s="4">
        <v>54.788721639999999</v>
      </c>
      <c r="E41" s="4">
        <v>618.24538270000005</v>
      </c>
      <c r="F41" s="4">
        <v>443.80393400000003</v>
      </c>
      <c r="G41" s="4">
        <v>190.2661669</v>
      </c>
      <c r="H41" s="4">
        <v>35.704316079999998</v>
      </c>
      <c r="I41" t="s">
        <v>18</v>
      </c>
      <c r="J41" s="1">
        <v>44966</v>
      </c>
      <c r="K41" s="4" t="str">
        <f>TRIM(CLEAN(Table1[[#This Row],[Region]]))</f>
        <v>Unknown</v>
      </c>
    </row>
    <row r="42" spans="1:11" x14ac:dyDescent="0.3">
      <c r="A42" s="2">
        <v>41</v>
      </c>
      <c r="B42" t="s">
        <v>21</v>
      </c>
      <c r="C42" t="s">
        <v>11</v>
      </c>
      <c r="D42" s="4">
        <v>49.758230230000002</v>
      </c>
      <c r="E42" s="4">
        <v>558.45032160000005</v>
      </c>
      <c r="F42" s="4">
        <v>297.53504190000001</v>
      </c>
      <c r="G42" s="4">
        <v>200.2300544</v>
      </c>
      <c r="H42" s="4">
        <v>40.215129009999998</v>
      </c>
      <c r="I42" t="s">
        <v>18</v>
      </c>
      <c r="J42" s="1">
        <v>44967</v>
      </c>
      <c r="K42" s="4" t="str">
        <f>TRIM(CLEAN(Table1[[#This Row],[Region]]))</f>
        <v>South</v>
      </c>
    </row>
    <row r="43" spans="1:11" x14ac:dyDescent="0.3">
      <c r="A43" s="2">
        <v>42</v>
      </c>
      <c r="B43" t="s">
        <v>21</v>
      </c>
      <c r="C43" t="s">
        <v>17</v>
      </c>
      <c r="D43" s="4">
        <v>44.289952800000002</v>
      </c>
      <c r="E43" s="4">
        <v>544.96559070000001</v>
      </c>
      <c r="F43" s="4">
        <v>451.93019629999998</v>
      </c>
      <c r="G43" s="4">
        <v>240.99440770000001</v>
      </c>
      <c r="H43" s="4">
        <v>31.451232829999999</v>
      </c>
      <c r="I43" t="s">
        <v>16</v>
      </c>
      <c r="J43" s="1">
        <v>44968</v>
      </c>
      <c r="K43" s="4" t="str">
        <f>TRIM(CLEAN(Table1[[#This Row],[Region]]))</f>
        <v>South</v>
      </c>
    </row>
    <row r="44" spans="1:11" x14ac:dyDescent="0.3">
      <c r="A44" s="2">
        <v>43</v>
      </c>
      <c r="B44" t="s">
        <v>20</v>
      </c>
      <c r="C44" t="s">
        <v>11</v>
      </c>
      <c r="D44" s="4">
        <v>47.366780970000001</v>
      </c>
      <c r="E44" s="4">
        <v>423.29454930000003</v>
      </c>
      <c r="F44" s="4">
        <v>310.02796460000002</v>
      </c>
      <c r="G44" s="4">
        <v>259.16135869999999</v>
      </c>
      <c r="H44" s="4">
        <v>25.367664909999998</v>
      </c>
      <c r="I44" t="s">
        <v>16</v>
      </c>
      <c r="J44" s="1">
        <v>44969</v>
      </c>
      <c r="K44" s="4" t="str">
        <f>TRIM(CLEAN(Table1[[#This Row],[Region]]))</f>
        <v>Unknown</v>
      </c>
    </row>
    <row r="45" spans="1:11" x14ac:dyDescent="0.3">
      <c r="A45" s="2">
        <v>44</v>
      </c>
      <c r="B45" t="s">
        <v>21</v>
      </c>
      <c r="C45" t="s">
        <v>19</v>
      </c>
      <c r="D45" s="4">
        <v>45.967104980000002</v>
      </c>
      <c r="E45" s="4">
        <v>521.18170789999999</v>
      </c>
      <c r="F45" s="4">
        <v>558.38317329999995</v>
      </c>
      <c r="G45" s="4">
        <v>157.05936360000001</v>
      </c>
      <c r="H45" s="4">
        <v>25.199356309999999</v>
      </c>
      <c r="I45" t="s">
        <v>18</v>
      </c>
      <c r="J45" s="1">
        <v>44970</v>
      </c>
      <c r="K45" s="4" t="str">
        <f>TRIM(CLEAN(Table1[[#This Row],[Region]]))</f>
        <v>South</v>
      </c>
    </row>
    <row r="46" spans="1:11" x14ac:dyDescent="0.3">
      <c r="A46" s="2">
        <v>45</v>
      </c>
      <c r="B46" t="s">
        <v>13</v>
      </c>
      <c r="C46" t="s">
        <v>20</v>
      </c>
      <c r="D46" s="4">
        <v>74.020262819999999</v>
      </c>
      <c r="E46" s="4">
        <v>417.97586710000002</v>
      </c>
      <c r="F46" s="4">
        <v>256.13458789999999</v>
      </c>
      <c r="G46" s="4">
        <v>198.5129173</v>
      </c>
      <c r="H46" s="4">
        <v>30.724539849999999</v>
      </c>
      <c r="I46" t="s">
        <v>16</v>
      </c>
      <c r="J46" s="1">
        <v>44971</v>
      </c>
      <c r="K46" s="4" t="str">
        <f>TRIM(CLEAN(Table1[[#This Row],[Region]]))</f>
        <v>East</v>
      </c>
    </row>
    <row r="47" spans="1:11" x14ac:dyDescent="0.3">
      <c r="A47" s="2">
        <v>46</v>
      </c>
      <c r="B47" t="s">
        <v>10</v>
      </c>
      <c r="C47" t="s">
        <v>19</v>
      </c>
      <c r="D47" s="4">
        <v>49.773969110000003</v>
      </c>
      <c r="E47" s="4">
        <v>497.5972142</v>
      </c>
      <c r="F47" s="4">
        <v>603.43852549999997</v>
      </c>
      <c r="G47" s="4">
        <v>172.6944499</v>
      </c>
      <c r="H47" s="4">
        <v>31.404816610000001</v>
      </c>
      <c r="I47" t="s">
        <v>16</v>
      </c>
      <c r="J47" s="1">
        <v>44972</v>
      </c>
      <c r="K47" s="4" t="str">
        <f>TRIM(CLEAN(Table1[[#This Row],[Region]]))</f>
        <v>West</v>
      </c>
    </row>
    <row r="48" spans="1:11" x14ac:dyDescent="0.3">
      <c r="A48" s="2">
        <v>47</v>
      </c>
      <c r="B48" t="s">
        <v>20</v>
      </c>
      <c r="C48" t="s">
        <v>20</v>
      </c>
      <c r="D48" s="4">
        <v>55.248887789999998</v>
      </c>
      <c r="E48" s="4">
        <v>335.97333609999998</v>
      </c>
      <c r="F48" s="4">
        <v>531.54755999999998</v>
      </c>
      <c r="G48" s="4">
        <v>229.84310909999999</v>
      </c>
      <c r="H48" s="4">
        <v>39.2896438</v>
      </c>
      <c r="I48" t="s">
        <v>18</v>
      </c>
      <c r="J48" s="1">
        <v>44973</v>
      </c>
      <c r="K48" s="4" t="str">
        <f>TRIM(CLEAN(Table1[[#This Row],[Region]]))</f>
        <v>Unknown</v>
      </c>
    </row>
    <row r="49" spans="1:11" x14ac:dyDescent="0.3">
      <c r="A49" s="2">
        <v>48</v>
      </c>
      <c r="B49" t="s">
        <v>10</v>
      </c>
      <c r="C49" t="s">
        <v>19</v>
      </c>
      <c r="D49" s="4">
        <v>67.8162509</v>
      </c>
      <c r="E49" s="4">
        <v>336.74415970000001</v>
      </c>
      <c r="F49" s="4">
        <v>532.0066339</v>
      </c>
      <c r="G49" s="4">
        <v>188.3847753</v>
      </c>
      <c r="H49" s="4">
        <v>34.854024260000003</v>
      </c>
      <c r="I49" t="s">
        <v>16</v>
      </c>
      <c r="J49" s="1">
        <v>44974</v>
      </c>
      <c r="K49" s="4" t="str">
        <f>TRIM(CLEAN(Table1[[#This Row],[Region]]))</f>
        <v>West</v>
      </c>
    </row>
    <row r="50" spans="1:11" x14ac:dyDescent="0.3">
      <c r="A50" s="2">
        <v>49</v>
      </c>
      <c r="B50" t="s">
        <v>14</v>
      </c>
      <c r="C50" t="s">
        <v>19</v>
      </c>
      <c r="D50" s="4">
        <v>41.236813320000003</v>
      </c>
      <c r="E50" s="4">
        <v>480.89523100000002</v>
      </c>
      <c r="F50" s="4">
        <v>220.2828159</v>
      </c>
      <c r="G50" s="4">
        <v>201.46257399999999</v>
      </c>
      <c r="H50" s="4">
        <v>30.420532439999999</v>
      </c>
      <c r="I50" t="s">
        <v>16</v>
      </c>
      <c r="J50" s="1">
        <v>44975</v>
      </c>
      <c r="K50" s="4" t="str">
        <f>TRIM(CLEAN(Table1[[#This Row],[Region]]))</f>
        <v>North</v>
      </c>
    </row>
    <row r="51" spans="1:11" x14ac:dyDescent="0.3">
      <c r="A51" s="2">
        <v>50</v>
      </c>
      <c r="B51" t="s">
        <v>13</v>
      </c>
      <c r="C51" t="s">
        <v>19</v>
      </c>
      <c r="D51" s="4">
        <v>50.376602329999997</v>
      </c>
      <c r="E51" s="4">
        <v>445.15603279999999</v>
      </c>
      <c r="F51" s="4">
        <v>440.56806740000002</v>
      </c>
      <c r="G51" s="4">
        <v>186.48616190000001</v>
      </c>
      <c r="H51" s="4">
        <v>28.323963729999999</v>
      </c>
      <c r="I51" t="s">
        <v>18</v>
      </c>
      <c r="J51" s="1">
        <v>44976</v>
      </c>
      <c r="K51" s="4" t="str">
        <f>TRIM(CLEAN(Table1[[#This Row],[Region]]))</f>
        <v>East</v>
      </c>
    </row>
    <row r="52" spans="1:11" x14ac:dyDescent="0.3">
      <c r="A52" s="2">
        <v>51</v>
      </c>
      <c r="B52" t="s">
        <v>14</v>
      </c>
      <c r="C52" t="s">
        <v>17</v>
      </c>
      <c r="D52" s="4">
        <v>47.308138679999999</v>
      </c>
      <c r="E52" s="4">
        <v>510.67871930000001</v>
      </c>
      <c r="F52" s="4">
        <v>618.42761140000005</v>
      </c>
      <c r="G52" s="4">
        <v>194.6940242</v>
      </c>
      <c r="H52" s="4">
        <v>45.073558550000001</v>
      </c>
      <c r="I52" t="s">
        <v>16</v>
      </c>
      <c r="J52" s="1">
        <v>44977</v>
      </c>
      <c r="K52" s="4" t="str">
        <f>TRIM(CLEAN(Table1[[#This Row],[Region]]))</f>
        <v>North</v>
      </c>
    </row>
    <row r="53" spans="1:11" x14ac:dyDescent="0.3">
      <c r="A53" s="2">
        <v>52</v>
      </c>
      <c r="B53" t="s">
        <v>13</v>
      </c>
      <c r="C53" t="s">
        <v>11</v>
      </c>
      <c r="D53" s="4">
        <v>49.138615549999997</v>
      </c>
      <c r="E53" s="4">
        <v>486.52314209999997</v>
      </c>
      <c r="F53" s="4">
        <v>417.7670425</v>
      </c>
      <c r="G53" s="4">
        <v>285.23255030000001</v>
      </c>
      <c r="H53" s="4">
        <v>33.132973999999997</v>
      </c>
      <c r="I53" t="s">
        <v>20</v>
      </c>
      <c r="J53" s="1">
        <v>44978</v>
      </c>
      <c r="K53" s="4" t="str">
        <f>TRIM(CLEAN(Table1[[#This Row],[Region]]))</f>
        <v>East</v>
      </c>
    </row>
    <row r="54" spans="1:11" x14ac:dyDescent="0.3">
      <c r="A54" s="2">
        <v>53</v>
      </c>
      <c r="B54" t="s">
        <v>20</v>
      </c>
      <c r="C54" t="s">
        <v>20</v>
      </c>
      <c r="D54" s="4">
        <v>48.209880329999997</v>
      </c>
      <c r="E54" s="4">
        <v>503.01907870000002</v>
      </c>
      <c r="F54" s="4">
        <v>350.632542</v>
      </c>
      <c r="G54" s="4">
        <v>319.53830820000002</v>
      </c>
      <c r="H54" s="4">
        <v>26.656241430000001</v>
      </c>
      <c r="I54" t="s">
        <v>18</v>
      </c>
      <c r="J54" s="1">
        <v>44979</v>
      </c>
      <c r="K54" s="4" t="str">
        <f>TRIM(CLEAN(Table1[[#This Row],[Region]]))</f>
        <v>Unknown</v>
      </c>
    </row>
    <row r="55" spans="1:11" x14ac:dyDescent="0.3">
      <c r="A55" s="2">
        <v>54</v>
      </c>
      <c r="B55" t="s">
        <v>14</v>
      </c>
      <c r="C55" t="s">
        <v>11</v>
      </c>
      <c r="D55" s="4">
        <v>42.681229139999999</v>
      </c>
      <c r="E55" s="4">
        <v>503.25760000000002</v>
      </c>
      <c r="F55" s="4">
        <v>403.5995886</v>
      </c>
      <c r="G55" s="4">
        <v>218.85460470000001</v>
      </c>
      <c r="H55" s="4">
        <v>28.876885380000001</v>
      </c>
      <c r="I55" t="s">
        <v>18</v>
      </c>
      <c r="J55" s="1">
        <v>44980</v>
      </c>
      <c r="K55" s="4" t="str">
        <f>TRIM(CLEAN(Table1[[#This Row],[Region]]))</f>
        <v>North</v>
      </c>
    </row>
    <row r="56" spans="1:11" x14ac:dyDescent="0.3">
      <c r="A56" s="2">
        <v>55</v>
      </c>
      <c r="B56" t="s">
        <v>14</v>
      </c>
      <c r="C56" t="s">
        <v>19</v>
      </c>
      <c r="D56" s="4">
        <v>51.954102849999998</v>
      </c>
      <c r="E56" s="4">
        <v>453.6731044</v>
      </c>
      <c r="F56" s="4">
        <v>471.80668530000003</v>
      </c>
      <c r="G56" s="4">
        <v>195.00151099999999</v>
      </c>
      <c r="H56" s="4">
        <v>25.612726299999999</v>
      </c>
      <c r="I56" t="s">
        <v>16</v>
      </c>
      <c r="J56" s="1">
        <v>44981</v>
      </c>
      <c r="K56" s="4" t="str">
        <f>TRIM(CLEAN(Table1[[#This Row],[Region]]))</f>
        <v>North</v>
      </c>
    </row>
    <row r="57" spans="1:11" x14ac:dyDescent="0.3">
      <c r="A57" s="2">
        <v>56</v>
      </c>
      <c r="B57" t="s">
        <v>20</v>
      </c>
      <c r="C57" t="s">
        <v>20</v>
      </c>
      <c r="D57" s="4">
        <v>39.373672229999997</v>
      </c>
      <c r="E57" s="4">
        <v>478.05561879999999</v>
      </c>
      <c r="F57" s="4">
        <v>377.83554600000002</v>
      </c>
      <c r="G57" s="4">
        <v>120.21816200000001</v>
      </c>
      <c r="H57" s="4">
        <v>17.977252369999999</v>
      </c>
      <c r="I57" t="s">
        <v>18</v>
      </c>
      <c r="J57" s="1">
        <v>44982</v>
      </c>
      <c r="K57" s="4" t="str">
        <f>TRIM(CLEAN(Table1[[#This Row],[Region]]))</f>
        <v>Unknown</v>
      </c>
    </row>
    <row r="58" spans="1:11" x14ac:dyDescent="0.3">
      <c r="A58" s="2">
        <v>57</v>
      </c>
      <c r="B58" t="s">
        <v>12</v>
      </c>
      <c r="C58" t="s">
        <v>11</v>
      </c>
      <c r="D58" s="4">
        <v>59.888827370000001</v>
      </c>
      <c r="E58" s="4">
        <v>645.5021223</v>
      </c>
      <c r="F58" s="4">
        <v>628.05806789999997</v>
      </c>
      <c r="G58" s="4">
        <v>161.97909000000001</v>
      </c>
      <c r="H58" s="4">
        <v>31.563254959999998</v>
      </c>
      <c r="I58" t="s">
        <v>18</v>
      </c>
      <c r="J58" s="1">
        <v>44983</v>
      </c>
      <c r="K58" s="4" t="str">
        <f>TRIM(CLEAN(Table1[[#This Row],[Region]]))</f>
        <v>South</v>
      </c>
    </row>
    <row r="59" spans="1:11" x14ac:dyDescent="0.3">
      <c r="A59" s="2">
        <v>58</v>
      </c>
      <c r="B59" t="s">
        <v>10</v>
      </c>
      <c r="C59" t="s">
        <v>19</v>
      </c>
      <c r="D59" s="4">
        <v>56.233098069999997</v>
      </c>
      <c r="E59" s="4">
        <v>503.25760000000002</v>
      </c>
      <c r="F59" s="4">
        <v>472.23989640000002</v>
      </c>
      <c r="G59" s="4">
        <v>193.66319820000001</v>
      </c>
      <c r="H59" s="4">
        <v>38.912271079999996</v>
      </c>
      <c r="I59" t="s">
        <v>20</v>
      </c>
      <c r="J59" s="1">
        <v>44984</v>
      </c>
      <c r="K59" s="4" t="str">
        <f>TRIM(CLEAN(Table1[[#This Row],[Region]]))</f>
        <v>West</v>
      </c>
    </row>
    <row r="60" spans="1:11" x14ac:dyDescent="0.3">
      <c r="A60" s="2">
        <v>59</v>
      </c>
      <c r="B60" t="s">
        <v>14</v>
      </c>
      <c r="C60" t="s">
        <v>15</v>
      </c>
      <c r="D60" s="4">
        <v>45.065371839999997</v>
      </c>
      <c r="E60" s="4">
        <v>482.07895250000001</v>
      </c>
      <c r="F60" s="4">
        <v>413.3316782</v>
      </c>
      <c r="G60" s="4">
        <v>164.24683899999999</v>
      </c>
      <c r="H60" s="4">
        <v>21.84721399</v>
      </c>
      <c r="I60" t="s">
        <v>18</v>
      </c>
      <c r="J60" s="1">
        <v>44985</v>
      </c>
      <c r="K60" s="4" t="str">
        <f>TRIM(CLEAN(Table1[[#This Row],[Region]]))</f>
        <v>North</v>
      </c>
    </row>
    <row r="61" spans="1:11" x14ac:dyDescent="0.3">
      <c r="A61" s="2">
        <v>60</v>
      </c>
      <c r="B61" t="s">
        <v>10</v>
      </c>
      <c r="C61" t="s">
        <v>19</v>
      </c>
      <c r="D61" s="4">
        <v>45.550166789999999</v>
      </c>
      <c r="E61" s="4">
        <v>508.25126990000001</v>
      </c>
      <c r="F61" s="4">
        <v>323.83877680000001</v>
      </c>
      <c r="G61" s="4">
        <v>169.50496190000001</v>
      </c>
      <c r="H61" s="4">
        <v>30.27631298</v>
      </c>
      <c r="I61" t="s">
        <v>18</v>
      </c>
      <c r="J61" s="1">
        <v>44986</v>
      </c>
      <c r="K61" s="4" t="str">
        <f>TRIM(CLEAN(Table1[[#This Row],[Region]]))</f>
        <v>West</v>
      </c>
    </row>
    <row r="62" spans="1:11" x14ac:dyDescent="0.3">
      <c r="A62" s="2">
        <v>61</v>
      </c>
      <c r="B62" t="s">
        <v>21</v>
      </c>
      <c r="C62" t="s">
        <v>11</v>
      </c>
      <c r="D62" s="4">
        <v>52.755105620000002</v>
      </c>
      <c r="E62" s="4">
        <v>483.86356269999999</v>
      </c>
      <c r="F62" s="4">
        <v>538.13359260000004</v>
      </c>
      <c r="G62" s="4">
        <v>278.76947369999999</v>
      </c>
      <c r="H62" s="4">
        <v>26.4654761</v>
      </c>
      <c r="I62" t="s">
        <v>18</v>
      </c>
      <c r="J62" s="1">
        <v>44987</v>
      </c>
      <c r="K62" s="4" t="str">
        <f>TRIM(CLEAN(Table1[[#This Row],[Region]]))</f>
        <v>South</v>
      </c>
    </row>
    <row r="63" spans="1:11" x14ac:dyDescent="0.3">
      <c r="A63" s="2">
        <v>62</v>
      </c>
      <c r="B63" t="s">
        <v>12</v>
      </c>
      <c r="C63" t="s">
        <v>19</v>
      </c>
      <c r="D63" s="4">
        <v>42.014546840000001</v>
      </c>
      <c r="E63" s="4">
        <v>429.04277070000001</v>
      </c>
      <c r="F63" s="4">
        <v>535.39995539999995</v>
      </c>
      <c r="G63" s="4">
        <v>201.43954070000001</v>
      </c>
      <c r="H63" s="4">
        <v>32.607512630000002</v>
      </c>
      <c r="I63" t="s">
        <v>18</v>
      </c>
      <c r="J63" s="1">
        <v>44988</v>
      </c>
      <c r="K63" s="4" t="str">
        <f>TRIM(CLEAN(Table1[[#This Row],[Region]]))</f>
        <v>South</v>
      </c>
    </row>
    <row r="64" spans="1:11" x14ac:dyDescent="0.3">
      <c r="A64" s="2">
        <v>63</v>
      </c>
      <c r="B64" t="s">
        <v>12</v>
      </c>
      <c r="C64" t="s">
        <v>19</v>
      </c>
      <c r="D64" s="4">
        <v>68.119801240000001</v>
      </c>
      <c r="E64" s="4">
        <v>400.19701629999997</v>
      </c>
      <c r="F64" s="4">
        <v>384.93493130000002</v>
      </c>
      <c r="G64" s="4">
        <v>205.91059960000001</v>
      </c>
      <c r="H64" s="4">
        <v>29.138349219999998</v>
      </c>
      <c r="I64" t="s">
        <v>18</v>
      </c>
      <c r="J64" s="1">
        <v>44989</v>
      </c>
      <c r="K64" s="4" t="str">
        <f>TRIM(CLEAN(Table1[[#This Row],[Region]]))</f>
        <v>South</v>
      </c>
    </row>
    <row r="65" spans="1:11" x14ac:dyDescent="0.3">
      <c r="A65" s="2">
        <v>64</v>
      </c>
      <c r="B65" t="s">
        <v>14</v>
      </c>
      <c r="C65" t="s">
        <v>20</v>
      </c>
      <c r="D65" s="4">
        <v>136.79017020000001</v>
      </c>
      <c r="E65" s="4">
        <v>423.65686599999998</v>
      </c>
      <c r="F65" s="4">
        <v>211.64051660000001</v>
      </c>
      <c r="G65" s="4">
        <v>166.29047199999999</v>
      </c>
      <c r="H65" s="4">
        <v>23.199726729999998</v>
      </c>
      <c r="I65" t="s">
        <v>16</v>
      </c>
      <c r="J65" s="1">
        <v>44990</v>
      </c>
      <c r="K65" s="4" t="str">
        <f>TRIM(CLEAN(Table1[[#This Row],[Region]]))</f>
        <v>North</v>
      </c>
    </row>
    <row r="66" spans="1:11" x14ac:dyDescent="0.3">
      <c r="A66" s="2">
        <v>65</v>
      </c>
      <c r="B66" t="s">
        <v>12</v>
      </c>
      <c r="C66" t="s">
        <v>20</v>
      </c>
      <c r="D66" s="4">
        <v>53.93263151</v>
      </c>
      <c r="E66" s="4">
        <v>587.2919187</v>
      </c>
      <c r="F66" s="4">
        <v>529.29146270000001</v>
      </c>
      <c r="G66" s="4">
        <v>258.87723620000003</v>
      </c>
      <c r="H66" s="4">
        <v>25.094481429999998</v>
      </c>
      <c r="I66" t="s">
        <v>18</v>
      </c>
      <c r="J66" s="1">
        <v>44991</v>
      </c>
      <c r="K66" s="4" t="str">
        <f>TRIM(CLEAN(Table1[[#This Row],[Region]]))</f>
        <v>South</v>
      </c>
    </row>
    <row r="67" spans="1:11" x14ac:dyDescent="0.3">
      <c r="A67" s="2">
        <v>66</v>
      </c>
      <c r="B67" t="s">
        <v>14</v>
      </c>
      <c r="C67" t="s">
        <v>15</v>
      </c>
      <c r="D67" s="4">
        <v>284.07225399999999</v>
      </c>
      <c r="E67" s="4">
        <v>1748.037898</v>
      </c>
      <c r="F67" s="4">
        <v>457.58359300000001</v>
      </c>
      <c r="G67" s="4">
        <v>189.3710686</v>
      </c>
      <c r="H67" s="4">
        <v>25.848497340000002</v>
      </c>
      <c r="I67" t="s">
        <v>20</v>
      </c>
      <c r="J67" s="1">
        <v>44992</v>
      </c>
      <c r="K67" s="4" t="str">
        <f>TRIM(CLEAN(Table1[[#This Row],[Region]]))</f>
        <v>North</v>
      </c>
    </row>
    <row r="68" spans="1:11" x14ac:dyDescent="0.3">
      <c r="A68" s="2">
        <v>67</v>
      </c>
      <c r="B68" t="s">
        <v>12</v>
      </c>
      <c r="C68" t="s">
        <v>19</v>
      </c>
      <c r="D68" s="4">
        <v>44.205367260000003</v>
      </c>
      <c r="E68" s="4">
        <v>484.50753980000002</v>
      </c>
      <c r="F68" s="4">
        <v>520.32854020000002</v>
      </c>
      <c r="G68" s="4">
        <v>173.95681669999999</v>
      </c>
      <c r="H68" s="4">
        <v>36.72159104</v>
      </c>
      <c r="I68" t="s">
        <v>16</v>
      </c>
      <c r="J68" s="1">
        <v>44993</v>
      </c>
      <c r="K68" s="4" t="str">
        <f>TRIM(CLEAN(Table1[[#This Row],[Region]]))</f>
        <v>South</v>
      </c>
    </row>
    <row r="69" spans="1:11" x14ac:dyDescent="0.3">
      <c r="A69" s="2">
        <v>68</v>
      </c>
      <c r="B69" t="s">
        <v>10</v>
      </c>
      <c r="C69" t="s">
        <v>19</v>
      </c>
      <c r="D69" s="4">
        <v>60.890099820000003</v>
      </c>
      <c r="E69" s="4">
        <v>570.07362850000004</v>
      </c>
      <c r="F69" s="4">
        <v>714.86094400000002</v>
      </c>
      <c r="G69" s="4">
        <v>120.9624591</v>
      </c>
      <c r="H69" s="4">
        <v>36.466296380000003</v>
      </c>
      <c r="I69" t="s">
        <v>20</v>
      </c>
      <c r="J69" s="1">
        <v>44994</v>
      </c>
      <c r="K69" s="4" t="str">
        <f>TRIM(CLEAN(Table1[[#This Row],[Region]]))</f>
        <v>West</v>
      </c>
    </row>
    <row r="70" spans="1:11" x14ac:dyDescent="0.3">
      <c r="A70" s="2">
        <v>69</v>
      </c>
      <c r="B70" t="s">
        <v>10</v>
      </c>
      <c r="C70" t="s">
        <v>11</v>
      </c>
      <c r="D70" s="4">
        <v>51.145333659999999</v>
      </c>
      <c r="E70" s="4">
        <v>472.16088289999999</v>
      </c>
      <c r="F70" s="4">
        <v>476.78017879999999</v>
      </c>
      <c r="G70" s="4">
        <v>196.94490429999999</v>
      </c>
      <c r="H70" s="4">
        <v>28.443260559999999</v>
      </c>
      <c r="I70" t="s">
        <v>18</v>
      </c>
      <c r="J70" s="1">
        <v>44995</v>
      </c>
      <c r="K70" s="4" t="str">
        <f>TRIM(CLEAN(Table1[[#This Row],[Region]]))</f>
        <v>West</v>
      </c>
    </row>
    <row r="71" spans="1:11" x14ac:dyDescent="0.3">
      <c r="A71" s="2">
        <v>70</v>
      </c>
      <c r="B71" t="s">
        <v>20</v>
      </c>
      <c r="C71" t="s">
        <v>17</v>
      </c>
      <c r="D71" s="4">
        <v>59.501454709999997</v>
      </c>
      <c r="E71" s="4">
        <v>563.33613149999996</v>
      </c>
      <c r="F71" s="4">
        <v>418.33936599999998</v>
      </c>
      <c r="G71" s="4">
        <v>172.3970999</v>
      </c>
      <c r="H71" s="4">
        <v>36.139017170000002</v>
      </c>
      <c r="I71" t="s">
        <v>18</v>
      </c>
      <c r="J71" s="1">
        <v>44996</v>
      </c>
      <c r="K71" s="4" t="str">
        <f>TRIM(CLEAN(Table1[[#This Row],[Region]]))</f>
        <v>Unknown</v>
      </c>
    </row>
    <row r="72" spans="1:11" x14ac:dyDescent="0.3">
      <c r="A72" s="2">
        <v>71</v>
      </c>
      <c r="B72" t="s">
        <v>10</v>
      </c>
      <c r="C72" t="s">
        <v>19</v>
      </c>
      <c r="D72" s="4">
        <v>48.020468729999997</v>
      </c>
      <c r="E72" s="4">
        <v>345.92069579999998</v>
      </c>
      <c r="F72" s="4">
        <v>342.32136389999999</v>
      </c>
      <c r="G72" s="4">
        <v>284.22898729999997</v>
      </c>
      <c r="H72" s="4">
        <v>29.1340808</v>
      </c>
      <c r="I72" t="s">
        <v>18</v>
      </c>
      <c r="J72" s="1">
        <v>44997</v>
      </c>
      <c r="K72" s="4" t="str">
        <f>TRIM(CLEAN(Table1[[#This Row],[Region]]))</f>
        <v>West</v>
      </c>
    </row>
    <row r="73" spans="1:11" x14ac:dyDescent="0.3">
      <c r="A73" s="2">
        <v>72</v>
      </c>
      <c r="B73" t="s">
        <v>20</v>
      </c>
      <c r="C73" t="s">
        <v>19</v>
      </c>
      <c r="D73" s="4">
        <v>63.172782269999999</v>
      </c>
      <c r="E73" s="4">
        <v>486.748332</v>
      </c>
      <c r="F73" s="4">
        <v>442.50938500000001</v>
      </c>
      <c r="G73" s="4">
        <v>292.19493460000001</v>
      </c>
      <c r="H73" s="4">
        <v>28.366686210000001</v>
      </c>
      <c r="I73" t="s">
        <v>16</v>
      </c>
      <c r="J73" s="1">
        <v>44998</v>
      </c>
      <c r="K73" s="4" t="str">
        <f>TRIM(CLEAN(Table1[[#This Row],[Region]]))</f>
        <v>Unknown</v>
      </c>
    </row>
    <row r="74" spans="1:11" x14ac:dyDescent="0.3">
      <c r="A74" s="2">
        <v>73</v>
      </c>
      <c r="B74" t="s">
        <v>10</v>
      </c>
      <c r="C74" t="s">
        <v>15</v>
      </c>
      <c r="D74" s="4">
        <v>54.01343627</v>
      </c>
      <c r="E74" s="4">
        <v>507.88960969999999</v>
      </c>
      <c r="F74" s="4">
        <v>499.26928199999998</v>
      </c>
      <c r="G74" s="4">
        <v>138.23597530000001</v>
      </c>
      <c r="H74" s="4">
        <v>30.2855892</v>
      </c>
      <c r="I74" t="s">
        <v>18</v>
      </c>
      <c r="J74" s="1">
        <v>44999</v>
      </c>
      <c r="K74" s="4" t="str">
        <f>TRIM(CLEAN(Table1[[#This Row],[Region]]))</f>
        <v>West</v>
      </c>
    </row>
    <row r="75" spans="1:11" x14ac:dyDescent="0.3">
      <c r="A75" s="2">
        <v>74</v>
      </c>
      <c r="B75" t="s">
        <v>14</v>
      </c>
      <c r="C75" t="s">
        <v>19</v>
      </c>
      <c r="D75" s="4">
        <v>71.825070240000002</v>
      </c>
      <c r="E75" s="4">
        <v>502.31387230000001</v>
      </c>
      <c r="F75" s="4">
        <v>480.48430000000002</v>
      </c>
      <c r="G75" s="4">
        <v>143.89233809999999</v>
      </c>
      <c r="H75" s="4">
        <v>31.424126390000001</v>
      </c>
      <c r="I75" t="s">
        <v>20</v>
      </c>
      <c r="J75" s="1">
        <v>45000</v>
      </c>
      <c r="K75" s="4" t="str">
        <f>TRIM(CLEAN(Table1[[#This Row],[Region]]))</f>
        <v>North</v>
      </c>
    </row>
    <row r="76" spans="1:11" x14ac:dyDescent="0.3">
      <c r="A76" s="2">
        <v>75</v>
      </c>
      <c r="B76" t="s">
        <v>20</v>
      </c>
      <c r="C76" t="s">
        <v>17</v>
      </c>
      <c r="D76" s="4">
        <v>46.304783829999998</v>
      </c>
      <c r="E76" s="4">
        <v>334.70813020000003</v>
      </c>
      <c r="F76" s="4">
        <v>686.81584080000005</v>
      </c>
      <c r="G76" s="4">
        <v>186.1840182</v>
      </c>
      <c r="H76" s="4">
        <v>27.222776039999999</v>
      </c>
      <c r="I76" t="s">
        <v>18</v>
      </c>
      <c r="J76" s="1">
        <v>45001</v>
      </c>
      <c r="K76" s="4" t="str">
        <f>TRIM(CLEAN(Table1[[#This Row],[Region]]))</f>
        <v>Unknown</v>
      </c>
    </row>
    <row r="77" spans="1:11" x14ac:dyDescent="0.3">
      <c r="A77" s="2">
        <v>76</v>
      </c>
      <c r="B77" t="s">
        <v>13</v>
      </c>
      <c r="C77" t="s">
        <v>20</v>
      </c>
      <c r="D77" s="4">
        <v>52.045493960000002</v>
      </c>
      <c r="E77" s="4">
        <v>620.31126459999996</v>
      </c>
      <c r="F77" s="4">
        <v>539.89026790000003</v>
      </c>
      <c r="G77" s="4">
        <v>159.19810519999999</v>
      </c>
      <c r="H77" s="4">
        <v>30.10932871</v>
      </c>
      <c r="I77" t="s">
        <v>16</v>
      </c>
      <c r="J77" s="1">
        <v>45002</v>
      </c>
      <c r="K77" s="4" t="str">
        <f>TRIM(CLEAN(Table1[[#This Row],[Region]]))</f>
        <v>East</v>
      </c>
    </row>
    <row r="78" spans="1:11" x14ac:dyDescent="0.3">
      <c r="A78" s="2">
        <v>77</v>
      </c>
      <c r="B78" t="s">
        <v>21</v>
      </c>
      <c r="C78" t="s">
        <v>20</v>
      </c>
      <c r="D78" s="4">
        <v>39.684237529999997</v>
      </c>
      <c r="E78" s="4">
        <v>414.53270550000002</v>
      </c>
      <c r="F78" s="4">
        <v>463.82389540000003</v>
      </c>
      <c r="G78" s="4">
        <v>210.8708288</v>
      </c>
      <c r="H78" s="4">
        <v>33.936612529999998</v>
      </c>
      <c r="I78" t="s">
        <v>18</v>
      </c>
      <c r="J78" s="1">
        <v>45003</v>
      </c>
      <c r="K78" s="4" t="str">
        <f>TRIM(CLEAN(Table1[[#This Row],[Region]]))</f>
        <v>South</v>
      </c>
    </row>
    <row r="79" spans="1:11" x14ac:dyDescent="0.3">
      <c r="A79" s="2">
        <v>78</v>
      </c>
      <c r="B79" t="s">
        <v>14</v>
      </c>
      <c r="C79" t="s">
        <v>11</v>
      </c>
      <c r="D79" s="4">
        <v>44.707017620000002</v>
      </c>
      <c r="E79" s="4">
        <v>533.50371250000001</v>
      </c>
      <c r="F79" s="4">
        <v>395.21273050000002</v>
      </c>
      <c r="G79" s="4">
        <v>183.6688255</v>
      </c>
      <c r="H79" s="4">
        <v>30.647698200000001</v>
      </c>
      <c r="I79" t="s">
        <v>16</v>
      </c>
      <c r="J79" s="1">
        <v>45004</v>
      </c>
      <c r="K79" s="4" t="str">
        <f>TRIM(CLEAN(Table1[[#This Row],[Region]]))</f>
        <v>North</v>
      </c>
    </row>
    <row r="80" spans="1:11" x14ac:dyDescent="0.3">
      <c r="A80" s="2">
        <v>79</v>
      </c>
      <c r="B80" t="s">
        <v>10</v>
      </c>
      <c r="C80" t="s">
        <v>17</v>
      </c>
      <c r="D80" s="4">
        <v>56.186865480000002</v>
      </c>
      <c r="E80" s="4">
        <v>500.7964283</v>
      </c>
      <c r="F80" s="4">
        <v>512.00073169999996</v>
      </c>
      <c r="G80" s="4">
        <v>214.02661699999999</v>
      </c>
      <c r="H80" s="4">
        <v>30.213914509999999</v>
      </c>
      <c r="I80" t="s">
        <v>18</v>
      </c>
      <c r="J80" s="1">
        <v>45005</v>
      </c>
      <c r="K80" s="4" t="str">
        <f>TRIM(CLEAN(Table1[[#This Row],[Region]]))</f>
        <v>West</v>
      </c>
    </row>
    <row r="81" spans="1:11" x14ac:dyDescent="0.3">
      <c r="A81" s="2">
        <v>80</v>
      </c>
      <c r="B81" t="s">
        <v>12</v>
      </c>
      <c r="C81" t="s">
        <v>20</v>
      </c>
      <c r="D81" s="4">
        <v>61.293244379999997</v>
      </c>
      <c r="E81" s="4">
        <v>503.25760000000002</v>
      </c>
      <c r="F81" s="4">
        <v>371.159021</v>
      </c>
      <c r="G81" s="4">
        <v>250.80467609999999</v>
      </c>
      <c r="H81" s="4">
        <v>32.470901069999996</v>
      </c>
      <c r="I81" t="s">
        <v>18</v>
      </c>
      <c r="J81" s="1">
        <v>45006</v>
      </c>
      <c r="K81" s="4" t="str">
        <f>TRIM(CLEAN(Table1[[#This Row],[Region]]))</f>
        <v>South</v>
      </c>
    </row>
    <row r="82" spans="1:11" x14ac:dyDescent="0.3">
      <c r="A82" s="2">
        <v>81</v>
      </c>
      <c r="B82" t="s">
        <v>10</v>
      </c>
      <c r="C82" t="s">
        <v>11</v>
      </c>
      <c r="D82" s="4">
        <v>79.650103520000002</v>
      </c>
      <c r="E82" s="4">
        <v>718.74888290000001</v>
      </c>
      <c r="F82" s="4">
        <v>501.57972949999998</v>
      </c>
      <c r="G82" s="4">
        <v>146.78892450000001</v>
      </c>
      <c r="H82" s="4">
        <v>33.3335303</v>
      </c>
      <c r="I82" t="s">
        <v>20</v>
      </c>
      <c r="J82" s="1">
        <v>45007</v>
      </c>
      <c r="K82" s="4" t="str">
        <f>TRIM(CLEAN(Table1[[#This Row],[Region]]))</f>
        <v>West</v>
      </c>
    </row>
    <row r="83" spans="1:11" x14ac:dyDescent="0.3">
      <c r="A83" s="2">
        <v>82</v>
      </c>
      <c r="B83" t="s">
        <v>12</v>
      </c>
      <c r="C83" t="s">
        <v>19</v>
      </c>
      <c r="D83" s="4">
        <v>49.033710929999998</v>
      </c>
      <c r="E83" s="4">
        <v>370.96355149999999</v>
      </c>
      <c r="F83" s="4">
        <v>538.48967119999998</v>
      </c>
      <c r="G83" s="4">
        <v>249.76056109999999</v>
      </c>
      <c r="H83" s="4">
        <v>29.686920910000001</v>
      </c>
      <c r="I83" t="s">
        <v>18</v>
      </c>
      <c r="J83" s="1">
        <v>45008</v>
      </c>
      <c r="K83" s="4" t="str">
        <f>TRIM(CLEAN(Table1[[#This Row],[Region]]))</f>
        <v>South</v>
      </c>
    </row>
    <row r="84" spans="1:11" x14ac:dyDescent="0.3">
      <c r="A84" s="2">
        <v>83</v>
      </c>
      <c r="B84" t="s">
        <v>21</v>
      </c>
      <c r="C84" t="s">
        <v>11</v>
      </c>
      <c r="D84" s="4">
        <v>203.33932960000001</v>
      </c>
      <c r="E84" s="4">
        <v>1740.4344470000001</v>
      </c>
      <c r="F84" s="4">
        <v>454.02573330000001</v>
      </c>
      <c r="G84" s="4">
        <v>163.5673793</v>
      </c>
      <c r="H84" s="4">
        <v>27.62909471</v>
      </c>
      <c r="I84" t="s">
        <v>16</v>
      </c>
      <c r="J84" s="1">
        <v>45009</v>
      </c>
      <c r="K84" s="4" t="str">
        <f>TRIM(CLEAN(Table1[[#This Row],[Region]]))</f>
        <v>South</v>
      </c>
    </row>
    <row r="85" spans="1:11" x14ac:dyDescent="0.3">
      <c r="A85" s="2">
        <v>84</v>
      </c>
      <c r="B85" t="s">
        <v>21</v>
      </c>
      <c r="C85" t="s">
        <v>20</v>
      </c>
      <c r="D85" s="4">
        <v>57.533257599999999</v>
      </c>
      <c r="E85" s="4">
        <v>518.90924940000002</v>
      </c>
      <c r="F85" s="4">
        <v>480.48430000000002</v>
      </c>
      <c r="G85" s="4">
        <v>307.42414250000002</v>
      </c>
      <c r="H85" s="4">
        <v>30.946016520000001</v>
      </c>
      <c r="I85" t="s">
        <v>18</v>
      </c>
      <c r="J85" s="1">
        <v>45010</v>
      </c>
      <c r="K85" s="4" t="str">
        <f>TRIM(CLEAN(Table1[[#This Row],[Region]]))</f>
        <v>South</v>
      </c>
    </row>
    <row r="86" spans="1:11" x14ac:dyDescent="0.3">
      <c r="A86" s="2">
        <v>85</v>
      </c>
      <c r="B86" t="s">
        <v>21</v>
      </c>
      <c r="C86" t="s">
        <v>15</v>
      </c>
      <c r="D86" s="4">
        <v>38.721727790000003</v>
      </c>
      <c r="E86" s="4">
        <v>389.46466820000001</v>
      </c>
      <c r="F86" s="4">
        <v>217.7643783</v>
      </c>
      <c r="G86" s="4">
        <v>281.04879829999999</v>
      </c>
      <c r="H86" s="4">
        <v>22.030181349999999</v>
      </c>
      <c r="I86" t="s">
        <v>16</v>
      </c>
      <c r="J86" s="1">
        <v>45011</v>
      </c>
      <c r="K86" s="4" t="str">
        <f>TRIM(CLEAN(Table1[[#This Row],[Region]]))</f>
        <v>South</v>
      </c>
    </row>
    <row r="87" spans="1:11" x14ac:dyDescent="0.3">
      <c r="A87" s="2">
        <v>86</v>
      </c>
      <c r="B87" t="s">
        <v>12</v>
      </c>
      <c r="C87" t="s">
        <v>15</v>
      </c>
      <c r="D87" s="4">
        <v>55.64277388</v>
      </c>
      <c r="E87" s="4">
        <v>578.21826080000005</v>
      </c>
      <c r="F87" s="4">
        <v>617.26040720000003</v>
      </c>
      <c r="G87" s="4">
        <v>194.34598320000001</v>
      </c>
      <c r="H87" s="4">
        <v>28.948390020000001</v>
      </c>
      <c r="I87" t="s">
        <v>20</v>
      </c>
      <c r="J87" s="1">
        <v>45012</v>
      </c>
      <c r="K87" s="4" t="str">
        <f>TRIM(CLEAN(Table1[[#This Row],[Region]]))</f>
        <v>South</v>
      </c>
    </row>
    <row r="88" spans="1:11" x14ac:dyDescent="0.3">
      <c r="A88" s="2">
        <v>87</v>
      </c>
      <c r="B88" t="s">
        <v>10</v>
      </c>
      <c r="C88" t="s">
        <v>15</v>
      </c>
      <c r="D88" s="4">
        <v>44.977442840000002</v>
      </c>
      <c r="E88" s="4">
        <v>584.33726220000005</v>
      </c>
      <c r="F88" s="4">
        <v>528.39604680000002</v>
      </c>
      <c r="G88" s="4">
        <v>151.82082779999999</v>
      </c>
      <c r="H88" s="4">
        <v>17.642200460000002</v>
      </c>
      <c r="I88" t="s">
        <v>18</v>
      </c>
      <c r="J88" s="1">
        <v>45013</v>
      </c>
      <c r="K88" s="4" t="str">
        <f>TRIM(CLEAN(Table1[[#This Row],[Region]]))</f>
        <v>West</v>
      </c>
    </row>
    <row r="89" spans="1:11" x14ac:dyDescent="0.3">
      <c r="A89" s="2">
        <v>88</v>
      </c>
      <c r="B89" t="s">
        <v>21</v>
      </c>
      <c r="C89" t="s">
        <v>20</v>
      </c>
      <c r="D89" s="4">
        <v>52.115949700000002</v>
      </c>
      <c r="E89" s="4">
        <v>555.94490759999996</v>
      </c>
      <c r="F89" s="4">
        <v>531.31407379999996</v>
      </c>
      <c r="G89" s="4">
        <v>142.25670099999999</v>
      </c>
      <c r="H89" s="4">
        <v>21.621041080000001</v>
      </c>
      <c r="I89" t="s">
        <v>16</v>
      </c>
      <c r="J89" s="1">
        <v>45014</v>
      </c>
      <c r="K89" s="4" t="str">
        <f>TRIM(CLEAN(Table1[[#This Row],[Region]]))</f>
        <v>South</v>
      </c>
    </row>
    <row r="90" spans="1:11" x14ac:dyDescent="0.3">
      <c r="A90" s="2">
        <v>89</v>
      </c>
      <c r="B90" t="s">
        <v>14</v>
      </c>
      <c r="C90" t="s">
        <v>15</v>
      </c>
      <c r="D90" s="4">
        <v>60.91046102</v>
      </c>
      <c r="E90" s="4">
        <v>523.65817509999999</v>
      </c>
      <c r="F90" s="4">
        <v>292.63771969999999</v>
      </c>
      <c r="G90" s="4">
        <v>243.68142510000001</v>
      </c>
      <c r="H90" s="4">
        <v>20.869070749999999</v>
      </c>
      <c r="I90" t="s">
        <v>16</v>
      </c>
      <c r="J90" s="1">
        <v>45015</v>
      </c>
      <c r="K90" s="4" t="str">
        <f>TRIM(CLEAN(Table1[[#This Row],[Region]]))</f>
        <v>North</v>
      </c>
    </row>
    <row r="91" spans="1:11" x14ac:dyDescent="0.3">
      <c r="A91" s="2">
        <v>90</v>
      </c>
      <c r="B91" t="s">
        <v>20</v>
      </c>
      <c r="C91" t="s">
        <v>17</v>
      </c>
      <c r="D91" s="4">
        <v>48.892665710000003</v>
      </c>
      <c r="E91" s="4">
        <v>636.97087780000004</v>
      </c>
      <c r="F91" s="4">
        <v>645.58064400000001</v>
      </c>
      <c r="G91" s="4">
        <v>198.47986169999999</v>
      </c>
      <c r="H91" s="4">
        <v>35.236758709999997</v>
      </c>
      <c r="I91" t="s">
        <v>20</v>
      </c>
      <c r="J91" s="1">
        <v>45016</v>
      </c>
      <c r="K91" s="4" t="str">
        <f>TRIM(CLEAN(Table1[[#This Row],[Region]]))</f>
        <v>Unknown</v>
      </c>
    </row>
    <row r="92" spans="1:11" x14ac:dyDescent="0.3">
      <c r="A92" s="2">
        <v>91</v>
      </c>
      <c r="B92" t="s">
        <v>12</v>
      </c>
      <c r="C92" t="s">
        <v>19</v>
      </c>
      <c r="D92" s="4">
        <v>59.328790840000003</v>
      </c>
      <c r="E92" s="4">
        <v>384.43745180000002</v>
      </c>
      <c r="F92" s="4">
        <v>424.17397599999998</v>
      </c>
      <c r="G92" s="4">
        <v>246.34334430000001</v>
      </c>
      <c r="H92" s="4">
        <v>30.069909079999999</v>
      </c>
      <c r="I92" t="s">
        <v>18</v>
      </c>
      <c r="J92" s="1">
        <v>45017</v>
      </c>
      <c r="K92" s="4" t="str">
        <f>TRIM(CLEAN(Table1[[#This Row],[Region]]))</f>
        <v>South</v>
      </c>
    </row>
    <row r="93" spans="1:11" x14ac:dyDescent="0.3">
      <c r="A93" s="2">
        <v>92</v>
      </c>
      <c r="B93" t="s">
        <v>12</v>
      </c>
      <c r="C93" t="s">
        <v>11</v>
      </c>
      <c r="D93" s="4">
        <v>58.731585490000001</v>
      </c>
      <c r="E93" s="4">
        <v>506.52681949999999</v>
      </c>
      <c r="F93" s="4">
        <v>445.34456369999998</v>
      </c>
      <c r="G93" s="4">
        <v>310.21144850000002</v>
      </c>
      <c r="H93" s="4">
        <v>23.689754879999999</v>
      </c>
      <c r="I93" t="s">
        <v>16</v>
      </c>
      <c r="J93" s="1">
        <v>45018</v>
      </c>
      <c r="K93" s="4" t="str">
        <f>TRIM(CLEAN(Table1[[#This Row],[Region]]))</f>
        <v>South</v>
      </c>
    </row>
    <row r="94" spans="1:11" x14ac:dyDescent="0.3">
      <c r="A94" s="2">
        <v>93</v>
      </c>
      <c r="B94" t="s">
        <v>10</v>
      </c>
      <c r="C94" t="s">
        <v>11</v>
      </c>
      <c r="D94" s="4">
        <v>31.356684720000001</v>
      </c>
      <c r="E94" s="4">
        <v>426.11971310000001</v>
      </c>
      <c r="F94" s="4">
        <v>351.68557729999998</v>
      </c>
      <c r="G94" s="4">
        <v>161.48085309999999</v>
      </c>
      <c r="H94" s="4">
        <v>32.45533022</v>
      </c>
      <c r="I94" t="s">
        <v>20</v>
      </c>
      <c r="J94" s="1">
        <v>45019</v>
      </c>
      <c r="K94" s="4" t="str">
        <f>TRIM(CLEAN(Table1[[#This Row],[Region]]))</f>
        <v>West</v>
      </c>
    </row>
    <row r="95" spans="1:11" x14ac:dyDescent="0.3">
      <c r="A95" s="2">
        <v>94</v>
      </c>
      <c r="B95" t="s">
        <v>12</v>
      </c>
      <c r="C95" t="s">
        <v>20</v>
      </c>
      <c r="D95" s="4">
        <v>40.983992540000003</v>
      </c>
      <c r="E95" s="4">
        <v>588.99163329999999</v>
      </c>
      <c r="F95" s="4">
        <v>265.56651219999998</v>
      </c>
      <c r="G95" s="4">
        <v>138.49308780000001</v>
      </c>
      <c r="H95" s="4">
        <v>34.943272399999998</v>
      </c>
      <c r="I95" t="s">
        <v>18</v>
      </c>
      <c r="J95" s="1">
        <v>45020</v>
      </c>
      <c r="K95" s="4" t="str">
        <f>TRIM(CLEAN(Table1[[#This Row],[Region]]))</f>
        <v>South</v>
      </c>
    </row>
    <row r="96" spans="1:11" x14ac:dyDescent="0.3">
      <c r="A96" s="2">
        <v>95</v>
      </c>
      <c r="B96" t="s">
        <v>12</v>
      </c>
      <c r="C96" t="s">
        <v>15</v>
      </c>
      <c r="D96" s="4">
        <v>50.539879999999997</v>
      </c>
      <c r="E96" s="4">
        <v>316.66588350000001</v>
      </c>
      <c r="F96" s="4">
        <v>618.88155740000002</v>
      </c>
      <c r="G96" s="4">
        <v>209.6280117</v>
      </c>
      <c r="H96" s="4">
        <v>32.542427779999997</v>
      </c>
      <c r="I96" t="s">
        <v>18</v>
      </c>
      <c r="J96" s="1">
        <v>45021</v>
      </c>
      <c r="K96" s="4" t="str">
        <f>TRIM(CLEAN(Table1[[#This Row],[Region]]))</f>
        <v>South</v>
      </c>
    </row>
    <row r="97" spans="1:11" x14ac:dyDescent="0.3">
      <c r="A97" s="2">
        <v>96</v>
      </c>
      <c r="B97" t="s">
        <v>21</v>
      </c>
      <c r="C97" t="s">
        <v>15</v>
      </c>
      <c r="D97" s="4">
        <v>70.017371030000007</v>
      </c>
      <c r="E97" s="4">
        <v>497.19161339999999</v>
      </c>
      <c r="F97" s="4">
        <v>634.39168429999995</v>
      </c>
      <c r="G97" s="4">
        <v>257.23798060000001</v>
      </c>
      <c r="H97" s="4">
        <v>29.056449359999998</v>
      </c>
      <c r="I97" t="s">
        <v>18</v>
      </c>
      <c r="J97" s="1">
        <v>45022</v>
      </c>
      <c r="K97" s="4" t="str">
        <f>TRIM(CLEAN(Table1[[#This Row],[Region]]))</f>
        <v>South</v>
      </c>
    </row>
    <row r="98" spans="1:11" x14ac:dyDescent="0.3">
      <c r="A98" s="2">
        <v>97</v>
      </c>
      <c r="B98" t="s">
        <v>10</v>
      </c>
      <c r="C98" t="s">
        <v>19</v>
      </c>
      <c r="D98" s="4">
        <v>48.94608075</v>
      </c>
      <c r="E98" s="4">
        <v>533.52386869999998</v>
      </c>
      <c r="F98" s="4">
        <v>460.1366218</v>
      </c>
      <c r="G98" s="4">
        <v>152.97698550000001</v>
      </c>
      <c r="H98" s="4">
        <v>31.16243309</v>
      </c>
      <c r="I98" t="s">
        <v>20</v>
      </c>
      <c r="J98" s="1">
        <v>45023</v>
      </c>
      <c r="K98" s="4" t="str">
        <f>TRIM(CLEAN(Table1[[#This Row],[Region]]))</f>
        <v>West</v>
      </c>
    </row>
    <row r="99" spans="1:11" x14ac:dyDescent="0.3">
      <c r="A99" s="2">
        <v>98</v>
      </c>
      <c r="B99" t="s">
        <v>21</v>
      </c>
      <c r="C99" t="s">
        <v>19</v>
      </c>
      <c r="D99" s="4">
        <v>67.808292129999998</v>
      </c>
      <c r="E99" s="4">
        <v>405.2507865</v>
      </c>
      <c r="F99" s="4">
        <v>398.47385159999999</v>
      </c>
      <c r="G99" s="4">
        <v>201.7312369</v>
      </c>
      <c r="H99" s="4">
        <v>34.507482670000002</v>
      </c>
      <c r="I99" t="s">
        <v>18</v>
      </c>
      <c r="J99" s="1">
        <v>45024</v>
      </c>
      <c r="K99" s="4" t="str">
        <f>TRIM(CLEAN(Table1[[#This Row],[Region]]))</f>
        <v>South</v>
      </c>
    </row>
    <row r="100" spans="1:11" x14ac:dyDescent="0.3">
      <c r="A100" s="2">
        <v>99</v>
      </c>
      <c r="B100" t="s">
        <v>20</v>
      </c>
      <c r="C100" t="s">
        <v>17</v>
      </c>
      <c r="D100" s="4">
        <v>33.67047719</v>
      </c>
      <c r="E100" s="4">
        <v>437.38099679999999</v>
      </c>
      <c r="F100" s="4">
        <v>434.7546997</v>
      </c>
      <c r="G100" s="4">
        <v>268.50218310000002</v>
      </c>
      <c r="H100" s="4">
        <v>27.653770810000001</v>
      </c>
      <c r="I100" t="s">
        <v>18</v>
      </c>
      <c r="J100" s="1">
        <v>45025</v>
      </c>
      <c r="K100" s="4" t="str">
        <f>TRIM(CLEAN(Table1[[#This Row],[Region]]))</f>
        <v>Unknown</v>
      </c>
    </row>
    <row r="101" spans="1:11" x14ac:dyDescent="0.3">
      <c r="A101" s="2">
        <v>100</v>
      </c>
      <c r="B101" t="s">
        <v>20</v>
      </c>
      <c r="C101" t="s">
        <v>11</v>
      </c>
      <c r="D101" s="4">
        <v>44.272315749999997</v>
      </c>
      <c r="E101" s="4">
        <v>501.53789810000001</v>
      </c>
      <c r="F101" s="4">
        <v>438.04620119999998</v>
      </c>
      <c r="G101" s="4">
        <v>118.3561081</v>
      </c>
      <c r="H101" s="4">
        <v>30.149334620000001</v>
      </c>
      <c r="I101" t="s">
        <v>16</v>
      </c>
      <c r="J101" s="1">
        <v>45026</v>
      </c>
      <c r="K101" s="4" t="str">
        <f>TRIM(CLEAN(Table1[[#This Row],[Region]]))</f>
        <v>Unknown</v>
      </c>
    </row>
    <row r="102" spans="1:11" x14ac:dyDescent="0.3">
      <c r="A102" s="2">
        <v>101</v>
      </c>
      <c r="B102" t="s">
        <v>21</v>
      </c>
      <c r="C102" t="s">
        <v>19</v>
      </c>
      <c r="D102" s="4">
        <v>58.004982419999997</v>
      </c>
      <c r="E102" s="4">
        <v>595.50963790000003</v>
      </c>
      <c r="F102" s="4">
        <v>336.01683329999997</v>
      </c>
      <c r="G102" s="4">
        <v>211.76589809999999</v>
      </c>
      <c r="H102" s="4">
        <v>28.714034779999999</v>
      </c>
      <c r="I102" t="s">
        <v>20</v>
      </c>
      <c r="J102" s="1">
        <v>45027</v>
      </c>
      <c r="K102" s="4" t="str">
        <f>TRIM(CLEAN(Table1[[#This Row],[Region]]))</f>
        <v>South</v>
      </c>
    </row>
    <row r="103" spans="1:11" x14ac:dyDescent="0.3">
      <c r="A103" s="2">
        <v>102</v>
      </c>
      <c r="B103" t="s">
        <v>20</v>
      </c>
      <c r="C103" t="s">
        <v>19</v>
      </c>
      <c r="D103" s="4">
        <v>51.792746039999997</v>
      </c>
      <c r="E103" s="4">
        <v>396.71307710000002</v>
      </c>
      <c r="F103" s="4">
        <v>444.92937410000002</v>
      </c>
      <c r="G103" s="4">
        <v>172.99484530000001</v>
      </c>
      <c r="H103" s="4">
        <v>21.93292074</v>
      </c>
      <c r="I103" t="s">
        <v>16</v>
      </c>
      <c r="J103" s="1">
        <v>45028</v>
      </c>
      <c r="K103" s="4" t="str">
        <f>TRIM(CLEAN(Table1[[#This Row],[Region]]))</f>
        <v>Unknown</v>
      </c>
    </row>
    <row r="104" spans="1:11" x14ac:dyDescent="0.3">
      <c r="A104" s="2">
        <v>103</v>
      </c>
      <c r="B104" t="s">
        <v>10</v>
      </c>
      <c r="C104" t="s">
        <v>20</v>
      </c>
      <c r="D104" s="4">
        <v>55.328598929999998</v>
      </c>
      <c r="E104" s="4">
        <v>414.15500600000001</v>
      </c>
      <c r="F104" s="4">
        <v>498.37223920000002</v>
      </c>
      <c r="G104" s="4">
        <v>206.2078295</v>
      </c>
      <c r="H104" s="4">
        <v>34.582840900000001</v>
      </c>
      <c r="I104" t="s">
        <v>18</v>
      </c>
      <c r="J104" s="1">
        <v>45029</v>
      </c>
      <c r="K104" s="4" t="str">
        <f>TRIM(CLEAN(Table1[[#This Row],[Region]]))</f>
        <v>West</v>
      </c>
    </row>
    <row r="105" spans="1:11" x14ac:dyDescent="0.3">
      <c r="A105" s="2">
        <v>104</v>
      </c>
      <c r="B105" t="s">
        <v>14</v>
      </c>
      <c r="C105" t="s">
        <v>11</v>
      </c>
      <c r="D105" s="4">
        <v>37.461917659999997</v>
      </c>
      <c r="E105" s="4">
        <v>612.55877710000004</v>
      </c>
      <c r="F105" s="4">
        <v>602.17886969999995</v>
      </c>
      <c r="G105" s="4">
        <v>235.4892145</v>
      </c>
      <c r="H105" s="4">
        <v>40.286359320000003</v>
      </c>
      <c r="I105" t="s">
        <v>20</v>
      </c>
      <c r="J105" s="1">
        <v>45030</v>
      </c>
      <c r="K105" s="4" t="str">
        <f>TRIM(CLEAN(Table1[[#This Row],[Region]]))</f>
        <v>North</v>
      </c>
    </row>
    <row r="106" spans="1:11" x14ac:dyDescent="0.3">
      <c r="A106" s="2">
        <v>105</v>
      </c>
      <c r="B106" t="s">
        <v>21</v>
      </c>
      <c r="C106" t="s">
        <v>20</v>
      </c>
      <c r="D106" s="4">
        <v>63.768034929999999</v>
      </c>
      <c r="E106" s="4">
        <v>472.70245999999997</v>
      </c>
      <c r="F106" s="4">
        <v>481.70929969999997</v>
      </c>
      <c r="G106" s="4">
        <v>211.0404254</v>
      </c>
      <c r="H106" s="4">
        <v>25.631026890000001</v>
      </c>
      <c r="I106" t="s">
        <v>18</v>
      </c>
      <c r="J106" s="1">
        <v>45031</v>
      </c>
      <c r="K106" s="4" t="str">
        <f>TRIM(CLEAN(Table1[[#This Row],[Region]]))</f>
        <v>South</v>
      </c>
    </row>
    <row r="107" spans="1:11" x14ac:dyDescent="0.3">
      <c r="A107" s="2">
        <v>106</v>
      </c>
      <c r="B107" t="s">
        <v>14</v>
      </c>
      <c r="C107" t="s">
        <v>17</v>
      </c>
      <c r="D107" s="4">
        <v>57.770160959999998</v>
      </c>
      <c r="E107" s="4">
        <v>422.24609600000002</v>
      </c>
      <c r="F107" s="4">
        <v>290.83779490000001</v>
      </c>
      <c r="G107" s="4">
        <v>149.4888799</v>
      </c>
      <c r="H107" s="4">
        <v>34.813401169999999</v>
      </c>
      <c r="I107" t="s">
        <v>18</v>
      </c>
      <c r="J107" s="1">
        <v>45032</v>
      </c>
      <c r="K107" s="4" t="str">
        <f>TRIM(CLEAN(Table1[[#This Row],[Region]]))</f>
        <v>North</v>
      </c>
    </row>
    <row r="108" spans="1:11" x14ac:dyDescent="0.3">
      <c r="A108" s="2">
        <v>107</v>
      </c>
      <c r="B108" t="s">
        <v>14</v>
      </c>
      <c r="C108" t="s">
        <v>19</v>
      </c>
      <c r="D108" s="4">
        <v>54.016255049999998</v>
      </c>
      <c r="E108" s="4">
        <v>572.86847969999997</v>
      </c>
      <c r="F108" s="4">
        <v>522.42574360000003</v>
      </c>
      <c r="G108" s="4">
        <v>174.93769309999999</v>
      </c>
      <c r="H108" s="4">
        <v>25.7900311</v>
      </c>
      <c r="I108" t="s">
        <v>20</v>
      </c>
      <c r="J108" s="1">
        <v>45033</v>
      </c>
      <c r="K108" s="4" t="str">
        <f>TRIM(CLEAN(Table1[[#This Row],[Region]]))</f>
        <v>North</v>
      </c>
    </row>
    <row r="109" spans="1:11" x14ac:dyDescent="0.3">
      <c r="A109" s="2">
        <v>108</v>
      </c>
      <c r="B109" t="s">
        <v>12</v>
      </c>
      <c r="C109" t="s">
        <v>19</v>
      </c>
      <c r="D109" s="4">
        <v>43.143897189999997</v>
      </c>
      <c r="E109" s="4">
        <v>451.1803003</v>
      </c>
      <c r="F109" s="4">
        <v>449.28833259999999</v>
      </c>
      <c r="G109" s="4">
        <v>271.32964900000002</v>
      </c>
      <c r="H109" s="4">
        <v>30.663939079999999</v>
      </c>
      <c r="I109" t="s">
        <v>20</v>
      </c>
      <c r="J109" s="1">
        <v>45034</v>
      </c>
      <c r="K109" s="4" t="str">
        <f>TRIM(CLEAN(Table1[[#This Row],[Region]]))</f>
        <v>South</v>
      </c>
    </row>
    <row r="110" spans="1:11" x14ac:dyDescent="0.3">
      <c r="A110" s="2">
        <v>109</v>
      </c>
      <c r="B110" t="s">
        <v>20</v>
      </c>
      <c r="C110" t="s">
        <v>19</v>
      </c>
      <c r="D110" s="4">
        <v>53.238001279999999</v>
      </c>
      <c r="E110" s="4">
        <v>602.74215349999997</v>
      </c>
      <c r="F110" s="4">
        <v>644.44916330000001</v>
      </c>
      <c r="G110" s="4">
        <v>216.44664470000001</v>
      </c>
      <c r="H110" s="4">
        <v>37.540061369999997</v>
      </c>
      <c r="I110" t="s">
        <v>16</v>
      </c>
      <c r="J110" s="1">
        <v>45035</v>
      </c>
      <c r="K110" s="4" t="str">
        <f>TRIM(CLEAN(Table1[[#This Row],[Region]]))</f>
        <v>Unknown</v>
      </c>
    </row>
    <row r="111" spans="1:11" x14ac:dyDescent="0.3">
      <c r="A111" s="2">
        <v>110</v>
      </c>
      <c r="B111" t="s">
        <v>14</v>
      </c>
      <c r="C111" t="s">
        <v>17</v>
      </c>
      <c r="D111" s="4">
        <v>47.08510021</v>
      </c>
      <c r="E111" s="4">
        <v>433.62796229999998</v>
      </c>
      <c r="F111" s="4">
        <v>651.53493619999995</v>
      </c>
      <c r="G111" s="4">
        <v>242.01595639999999</v>
      </c>
      <c r="H111" s="4">
        <v>27.39780507</v>
      </c>
      <c r="I111" t="s">
        <v>18</v>
      </c>
      <c r="J111" s="1">
        <v>45036</v>
      </c>
      <c r="K111" s="4" t="str">
        <f>TRIM(CLEAN(Table1[[#This Row],[Region]]))</f>
        <v>North</v>
      </c>
    </row>
    <row r="112" spans="1:11" x14ac:dyDescent="0.3">
      <c r="A112" s="2">
        <v>111</v>
      </c>
      <c r="B112" t="s">
        <v>12</v>
      </c>
      <c r="C112" t="s">
        <v>19</v>
      </c>
      <c r="D112" s="4">
        <v>33.495087900000001</v>
      </c>
      <c r="E112" s="4">
        <v>484.04054380000002</v>
      </c>
      <c r="F112" s="4">
        <v>655.73451750000004</v>
      </c>
      <c r="G112" s="4">
        <v>212.51476550000001</v>
      </c>
      <c r="H112" s="4">
        <v>29.926567930000001</v>
      </c>
      <c r="I112" t="s">
        <v>18</v>
      </c>
      <c r="J112" s="1">
        <v>45037</v>
      </c>
      <c r="K112" s="4" t="str">
        <f>TRIM(CLEAN(Table1[[#This Row],[Region]]))</f>
        <v>South</v>
      </c>
    </row>
    <row r="113" spans="1:11" x14ac:dyDescent="0.3">
      <c r="A113" s="2">
        <v>112</v>
      </c>
      <c r="B113" t="s">
        <v>14</v>
      </c>
      <c r="C113" t="s">
        <v>17</v>
      </c>
      <c r="D113" s="4">
        <v>49.495771480000002</v>
      </c>
      <c r="E113" s="4">
        <v>594.49716650000005</v>
      </c>
      <c r="F113" s="4">
        <v>412.6094478</v>
      </c>
      <c r="G113" s="4">
        <v>240.45580340000001</v>
      </c>
      <c r="H113" s="4">
        <v>20.99248502</v>
      </c>
      <c r="I113" t="s">
        <v>18</v>
      </c>
      <c r="J113" s="1">
        <v>45038</v>
      </c>
      <c r="K113" s="4" t="str">
        <f>TRIM(CLEAN(Table1[[#This Row],[Region]]))</f>
        <v>North</v>
      </c>
    </row>
    <row r="114" spans="1:11" x14ac:dyDescent="0.3">
      <c r="A114" s="2">
        <v>113</v>
      </c>
      <c r="B114" t="s">
        <v>10</v>
      </c>
      <c r="C114" t="s">
        <v>11</v>
      </c>
      <c r="D114" s="4">
        <v>48.432696020000002</v>
      </c>
      <c r="E114" s="4">
        <v>477.37391289999999</v>
      </c>
      <c r="F114" s="4">
        <v>718.78260880000005</v>
      </c>
      <c r="G114" s="4">
        <v>180.19269550000001</v>
      </c>
      <c r="H114" s="4">
        <v>26.678978279999999</v>
      </c>
      <c r="I114" t="s">
        <v>18</v>
      </c>
      <c r="J114" s="1">
        <v>45039</v>
      </c>
      <c r="K114" s="4" t="str">
        <f>TRIM(CLEAN(Table1[[#This Row],[Region]]))</f>
        <v>West</v>
      </c>
    </row>
    <row r="115" spans="1:11" x14ac:dyDescent="0.3">
      <c r="A115" s="2">
        <v>114</v>
      </c>
      <c r="B115" t="s">
        <v>10</v>
      </c>
      <c r="C115" t="s">
        <v>15</v>
      </c>
      <c r="D115" s="4">
        <v>60.624015100000001</v>
      </c>
      <c r="E115" s="4">
        <v>575.60533220000002</v>
      </c>
      <c r="F115" s="4">
        <v>522.11310060000005</v>
      </c>
      <c r="G115" s="4">
        <v>161.62441770000001</v>
      </c>
      <c r="H115" s="4">
        <v>20.468638389999999</v>
      </c>
      <c r="I115" t="s">
        <v>18</v>
      </c>
      <c r="J115" s="1">
        <v>45040</v>
      </c>
      <c r="K115" s="4" t="str">
        <f>TRIM(CLEAN(Table1[[#This Row],[Region]]))</f>
        <v>West</v>
      </c>
    </row>
    <row r="116" spans="1:11" x14ac:dyDescent="0.3">
      <c r="A116" s="2">
        <v>115</v>
      </c>
      <c r="B116" t="s">
        <v>10</v>
      </c>
      <c r="C116" t="s">
        <v>19</v>
      </c>
      <c r="D116" s="4">
        <v>27.655735580000002</v>
      </c>
      <c r="E116" s="4">
        <v>493.44523930000003</v>
      </c>
      <c r="F116" s="4">
        <v>675.16564870000002</v>
      </c>
      <c r="G116" s="4">
        <v>238.18488579999999</v>
      </c>
      <c r="H116" s="4">
        <v>32.145890600000001</v>
      </c>
      <c r="I116" t="s">
        <v>16</v>
      </c>
      <c r="J116" s="1">
        <v>45041</v>
      </c>
      <c r="K116" s="4" t="str">
        <f>TRIM(CLEAN(Table1[[#This Row],[Region]]))</f>
        <v>West</v>
      </c>
    </row>
    <row r="117" spans="1:11" x14ac:dyDescent="0.3">
      <c r="A117" s="2">
        <v>116</v>
      </c>
      <c r="B117" t="s">
        <v>14</v>
      </c>
      <c r="C117" t="s">
        <v>19</v>
      </c>
      <c r="D117" s="4">
        <v>52.351998289999997</v>
      </c>
      <c r="E117" s="4">
        <v>698.1691806</v>
      </c>
      <c r="F117" s="4">
        <v>419.68564629999997</v>
      </c>
      <c r="G117" s="4">
        <v>256.36870049999999</v>
      </c>
      <c r="H117" s="4">
        <v>29.664100000000001</v>
      </c>
      <c r="I117" t="s">
        <v>16</v>
      </c>
      <c r="J117" s="1">
        <v>45042</v>
      </c>
      <c r="K117" s="4" t="str">
        <f>TRIM(CLEAN(Table1[[#This Row],[Region]]))</f>
        <v>North</v>
      </c>
    </row>
    <row r="118" spans="1:11" x14ac:dyDescent="0.3">
      <c r="A118" s="2">
        <v>117</v>
      </c>
      <c r="B118" t="s">
        <v>14</v>
      </c>
      <c r="C118" t="s">
        <v>11</v>
      </c>
      <c r="D118" s="4">
        <v>38.444319520000001</v>
      </c>
      <c r="E118" s="4">
        <v>656.87786040000003</v>
      </c>
      <c r="F118" s="4">
        <v>444.16839149999998</v>
      </c>
      <c r="G118" s="4">
        <v>154.2859345</v>
      </c>
      <c r="H118" s="4">
        <v>28.891825570000002</v>
      </c>
      <c r="I118" t="s">
        <v>18</v>
      </c>
      <c r="J118" s="1">
        <v>45043</v>
      </c>
      <c r="K118" s="4" t="str">
        <f>TRIM(CLEAN(Table1[[#This Row],[Region]]))</f>
        <v>North</v>
      </c>
    </row>
    <row r="119" spans="1:11" x14ac:dyDescent="0.3">
      <c r="A119" s="2">
        <v>118</v>
      </c>
      <c r="B119" t="s">
        <v>14</v>
      </c>
      <c r="C119" t="s">
        <v>17</v>
      </c>
      <c r="D119" s="4">
        <v>53.192233420000001</v>
      </c>
      <c r="E119" s="4">
        <v>367.19037379999997</v>
      </c>
      <c r="F119" s="4">
        <v>512.88328230000002</v>
      </c>
      <c r="G119" s="4">
        <v>171.20275939999999</v>
      </c>
      <c r="H119" s="4">
        <v>31.429434839999999</v>
      </c>
      <c r="I119" t="s">
        <v>18</v>
      </c>
      <c r="J119" s="1">
        <v>45044</v>
      </c>
      <c r="K119" s="4" t="str">
        <f>TRIM(CLEAN(Table1[[#This Row],[Region]]))</f>
        <v>North</v>
      </c>
    </row>
    <row r="120" spans="1:11" x14ac:dyDescent="0.3">
      <c r="A120" s="2">
        <v>119</v>
      </c>
      <c r="B120" t="s">
        <v>20</v>
      </c>
      <c r="C120" t="s">
        <v>20</v>
      </c>
      <c r="D120" s="4">
        <v>53.742800559999999</v>
      </c>
      <c r="E120" s="4">
        <v>552.22436809999999</v>
      </c>
      <c r="F120" s="4">
        <v>498.22531320000002</v>
      </c>
      <c r="G120" s="4">
        <v>199.07849999999999</v>
      </c>
      <c r="H120" s="4">
        <v>28.371347719999999</v>
      </c>
      <c r="I120" t="s">
        <v>16</v>
      </c>
      <c r="J120" s="1">
        <v>45045</v>
      </c>
      <c r="K120" s="4" t="str">
        <f>TRIM(CLEAN(Table1[[#This Row],[Region]]))</f>
        <v>Unknown</v>
      </c>
    </row>
    <row r="121" spans="1:11" x14ac:dyDescent="0.3">
      <c r="A121" s="2">
        <v>120</v>
      </c>
      <c r="B121" t="s">
        <v>14</v>
      </c>
      <c r="C121" t="s">
        <v>11</v>
      </c>
      <c r="D121" s="4">
        <v>49.131552229999997</v>
      </c>
      <c r="E121" s="4">
        <v>418.35960139999997</v>
      </c>
      <c r="F121" s="4">
        <v>630.57743319999997</v>
      </c>
      <c r="G121" s="4">
        <v>280.99123020000002</v>
      </c>
      <c r="H121" s="4">
        <v>33.702726830000003</v>
      </c>
      <c r="I121" t="s">
        <v>16</v>
      </c>
      <c r="J121" s="1">
        <v>45046</v>
      </c>
      <c r="K121" s="4" t="str">
        <f>TRIM(CLEAN(Table1[[#This Row],[Region]]))</f>
        <v>North</v>
      </c>
    </row>
    <row r="122" spans="1:11" x14ac:dyDescent="0.3">
      <c r="A122" s="2">
        <v>121</v>
      </c>
      <c r="B122" t="s">
        <v>14</v>
      </c>
      <c r="C122" t="s">
        <v>19</v>
      </c>
      <c r="D122" s="4">
        <v>58.072931250000003</v>
      </c>
      <c r="E122" s="4">
        <v>519.15069389999996</v>
      </c>
      <c r="F122" s="4">
        <v>452.14448179999999</v>
      </c>
      <c r="G122" s="4">
        <v>228.1567728</v>
      </c>
      <c r="H122" s="4">
        <v>30.647309679999999</v>
      </c>
      <c r="I122" t="s">
        <v>20</v>
      </c>
      <c r="J122" s="1">
        <v>45047</v>
      </c>
      <c r="K122" s="4" t="str">
        <f>TRIM(CLEAN(Table1[[#This Row],[Region]]))</f>
        <v>North</v>
      </c>
    </row>
    <row r="123" spans="1:11" x14ac:dyDescent="0.3">
      <c r="A123" s="2">
        <v>122</v>
      </c>
      <c r="B123" t="s">
        <v>14</v>
      </c>
      <c r="C123" t="s">
        <v>17</v>
      </c>
      <c r="D123" s="4">
        <v>37.542339409999997</v>
      </c>
      <c r="E123" s="4">
        <v>506.83706289999998</v>
      </c>
      <c r="F123" s="4">
        <v>619.75379880000003</v>
      </c>
      <c r="G123" s="4">
        <v>133.7956585</v>
      </c>
      <c r="H123" s="4">
        <v>20.071683220000001</v>
      </c>
      <c r="I123" t="s">
        <v>18</v>
      </c>
      <c r="J123" s="1">
        <v>45048</v>
      </c>
      <c r="K123" s="4" t="str">
        <f>TRIM(CLEAN(Table1[[#This Row],[Region]]))</f>
        <v>North</v>
      </c>
    </row>
    <row r="124" spans="1:11" x14ac:dyDescent="0.3">
      <c r="A124" s="2">
        <v>123</v>
      </c>
      <c r="B124" t="s">
        <v>20</v>
      </c>
      <c r="C124" t="s">
        <v>15</v>
      </c>
      <c r="D124" s="4">
        <v>416.36810179999998</v>
      </c>
      <c r="E124" s="4">
        <v>1577.8451930000001</v>
      </c>
      <c r="F124" s="4">
        <v>567.86814089999996</v>
      </c>
      <c r="G124" s="4">
        <v>195.35086039999999</v>
      </c>
      <c r="H124" s="4">
        <v>34.699904089999997</v>
      </c>
      <c r="I124" t="s">
        <v>16</v>
      </c>
      <c r="J124" s="1">
        <v>45049</v>
      </c>
      <c r="K124" s="4" t="str">
        <f>TRIM(CLEAN(Table1[[#This Row],[Region]]))</f>
        <v>Unknown</v>
      </c>
    </row>
    <row r="125" spans="1:11" x14ac:dyDescent="0.3">
      <c r="A125" s="2">
        <v>124</v>
      </c>
      <c r="B125" t="s">
        <v>14</v>
      </c>
      <c r="C125" t="s">
        <v>11</v>
      </c>
      <c r="D125" s="4">
        <v>42.919211339999997</v>
      </c>
      <c r="E125" s="4">
        <v>605.84845440000004</v>
      </c>
      <c r="F125" s="4">
        <v>454.39293379999998</v>
      </c>
      <c r="G125" s="4">
        <v>187.70606219999999</v>
      </c>
      <c r="H125" s="4">
        <v>28.052286030000001</v>
      </c>
      <c r="I125" t="s">
        <v>20</v>
      </c>
      <c r="J125" s="1">
        <v>45050</v>
      </c>
      <c r="K125" s="4" t="str">
        <f>TRIM(CLEAN(Table1[[#This Row],[Region]]))</f>
        <v>North</v>
      </c>
    </row>
    <row r="126" spans="1:11" x14ac:dyDescent="0.3">
      <c r="A126" s="2">
        <v>125</v>
      </c>
      <c r="B126" t="s">
        <v>14</v>
      </c>
      <c r="C126" t="s">
        <v>19</v>
      </c>
      <c r="D126" s="4">
        <v>34.441013499999997</v>
      </c>
      <c r="E126" s="4">
        <v>520.33029439999996</v>
      </c>
      <c r="F126" s="4">
        <v>558.56119409999997</v>
      </c>
      <c r="G126" s="4">
        <v>141.33652219999999</v>
      </c>
      <c r="H126" s="4">
        <v>23.648102640000001</v>
      </c>
      <c r="I126" t="s">
        <v>18</v>
      </c>
      <c r="J126" s="1">
        <v>45051</v>
      </c>
      <c r="K126" s="4" t="str">
        <f>TRIM(CLEAN(Table1[[#This Row],[Region]]))</f>
        <v>North</v>
      </c>
    </row>
    <row r="127" spans="1:11" x14ac:dyDescent="0.3">
      <c r="A127" s="2">
        <v>126</v>
      </c>
      <c r="B127" t="s">
        <v>10</v>
      </c>
      <c r="C127" t="s">
        <v>19</v>
      </c>
      <c r="D127" s="4">
        <v>47.276040299999998</v>
      </c>
      <c r="E127" s="4">
        <v>471.53169639999999</v>
      </c>
      <c r="F127" s="4">
        <v>423.20819440000002</v>
      </c>
      <c r="G127" s="4">
        <v>194.76040420000001</v>
      </c>
      <c r="H127" s="4">
        <v>27.805330139999999</v>
      </c>
      <c r="I127" t="s">
        <v>16</v>
      </c>
      <c r="J127" s="1">
        <v>45052</v>
      </c>
      <c r="K127" s="4" t="str">
        <f>TRIM(CLEAN(Table1[[#This Row],[Region]]))</f>
        <v>West</v>
      </c>
    </row>
    <row r="128" spans="1:11" x14ac:dyDescent="0.3">
      <c r="A128" s="2">
        <v>127</v>
      </c>
      <c r="B128" t="s">
        <v>20</v>
      </c>
      <c r="C128" t="s">
        <v>20</v>
      </c>
      <c r="D128" s="4">
        <v>29.04842477</v>
      </c>
      <c r="E128" s="4">
        <v>456.1890176</v>
      </c>
      <c r="F128" s="4">
        <v>762.02469599999995</v>
      </c>
      <c r="G128" s="4">
        <v>185.49812800000001</v>
      </c>
      <c r="H128" s="4">
        <v>20.489651760000001</v>
      </c>
      <c r="I128" t="s">
        <v>18</v>
      </c>
      <c r="J128" s="1">
        <v>45053</v>
      </c>
      <c r="K128" s="4" t="str">
        <f>TRIM(CLEAN(Table1[[#This Row],[Region]]))</f>
        <v>Unknown</v>
      </c>
    </row>
    <row r="129" spans="1:11" x14ac:dyDescent="0.3">
      <c r="A129" s="2">
        <v>128</v>
      </c>
      <c r="B129" t="s">
        <v>13</v>
      </c>
      <c r="C129" t="s">
        <v>17</v>
      </c>
      <c r="D129" s="4">
        <v>52.54173892</v>
      </c>
      <c r="E129" s="4">
        <v>513.97769700000003</v>
      </c>
      <c r="F129" s="4">
        <v>160.28012150000001</v>
      </c>
      <c r="G129" s="4">
        <v>181.91837380000001</v>
      </c>
      <c r="H129" s="4">
        <v>23.750553440000001</v>
      </c>
      <c r="I129" t="s">
        <v>20</v>
      </c>
      <c r="J129" s="1">
        <v>45054</v>
      </c>
      <c r="K129" s="4" t="str">
        <f>TRIM(CLEAN(Table1[[#This Row],[Region]]))</f>
        <v>East</v>
      </c>
    </row>
    <row r="130" spans="1:11" x14ac:dyDescent="0.3">
      <c r="A130" s="2">
        <v>129</v>
      </c>
      <c r="B130" t="s">
        <v>13</v>
      </c>
      <c r="C130" t="s">
        <v>11</v>
      </c>
      <c r="D130" s="4">
        <v>47.407495570000002</v>
      </c>
      <c r="E130" s="4">
        <v>540.79250179999997</v>
      </c>
      <c r="F130" s="4">
        <v>560.75318449999997</v>
      </c>
      <c r="G130" s="4">
        <v>179.6309316</v>
      </c>
      <c r="H130" s="4">
        <v>30.714748050000001</v>
      </c>
      <c r="I130" t="s">
        <v>18</v>
      </c>
      <c r="J130" s="1">
        <v>45055</v>
      </c>
      <c r="K130" s="4" t="str">
        <f>TRIM(CLEAN(Table1[[#This Row],[Region]]))</f>
        <v>East</v>
      </c>
    </row>
    <row r="131" spans="1:11" x14ac:dyDescent="0.3">
      <c r="A131" s="2">
        <v>130</v>
      </c>
      <c r="B131" t="s">
        <v>14</v>
      </c>
      <c r="C131" t="s">
        <v>11</v>
      </c>
      <c r="D131" s="4">
        <v>62.336869210000003</v>
      </c>
      <c r="E131" s="4">
        <v>487.5024214</v>
      </c>
      <c r="F131" s="4">
        <v>268.24849089999998</v>
      </c>
      <c r="G131" s="4">
        <v>273.56967739999999</v>
      </c>
      <c r="H131" s="4">
        <v>31.133558430000001</v>
      </c>
      <c r="I131" t="s">
        <v>16</v>
      </c>
      <c r="J131" s="1">
        <v>45056</v>
      </c>
      <c r="K131" s="4" t="str">
        <f>TRIM(CLEAN(Table1[[#This Row],[Region]]))</f>
        <v>North</v>
      </c>
    </row>
    <row r="132" spans="1:11" x14ac:dyDescent="0.3">
      <c r="A132" s="2">
        <v>131</v>
      </c>
      <c r="B132" t="s">
        <v>13</v>
      </c>
      <c r="C132" t="s">
        <v>15</v>
      </c>
      <c r="D132" s="4">
        <v>56.489242109999999</v>
      </c>
      <c r="E132" s="4">
        <v>216.7480429</v>
      </c>
      <c r="F132" s="4">
        <v>452.92119559999998</v>
      </c>
      <c r="G132" s="4">
        <v>181.81484420000001</v>
      </c>
      <c r="H132" s="4">
        <v>31.53219417</v>
      </c>
      <c r="I132" t="s">
        <v>20</v>
      </c>
      <c r="J132" s="1">
        <v>45057</v>
      </c>
      <c r="K132" s="4" t="str">
        <f>TRIM(CLEAN(Table1[[#This Row],[Region]]))</f>
        <v>East</v>
      </c>
    </row>
    <row r="133" spans="1:11" x14ac:dyDescent="0.3">
      <c r="A133" s="2">
        <v>132</v>
      </c>
      <c r="B133" t="s">
        <v>13</v>
      </c>
      <c r="C133" t="s">
        <v>15</v>
      </c>
      <c r="D133" s="4">
        <v>50.539879999999997</v>
      </c>
      <c r="E133" s="4">
        <v>501.68907159999998</v>
      </c>
      <c r="F133" s="4">
        <v>469.72702930000003</v>
      </c>
      <c r="G133" s="4">
        <v>199.07849999999999</v>
      </c>
      <c r="H133" s="4">
        <v>30.016049339999999</v>
      </c>
      <c r="I133" t="s">
        <v>20</v>
      </c>
      <c r="J133" s="1">
        <v>45058</v>
      </c>
      <c r="K133" s="4" t="str">
        <f>TRIM(CLEAN(Table1[[#This Row],[Region]]))</f>
        <v>East</v>
      </c>
    </row>
    <row r="134" spans="1:11" x14ac:dyDescent="0.3">
      <c r="A134" s="2">
        <v>133</v>
      </c>
      <c r="B134" t="s">
        <v>14</v>
      </c>
      <c r="C134" t="s">
        <v>19</v>
      </c>
      <c r="D134" s="4">
        <v>41.616125089999997</v>
      </c>
      <c r="E134" s="4">
        <v>355.8517938</v>
      </c>
      <c r="F134" s="4">
        <v>660.91602709999995</v>
      </c>
      <c r="G134" s="4">
        <v>197.06176439999999</v>
      </c>
      <c r="H134" s="4">
        <v>26.53567438</v>
      </c>
      <c r="I134" t="s">
        <v>18</v>
      </c>
      <c r="J134" s="1">
        <v>45059</v>
      </c>
      <c r="K134" s="4" t="str">
        <f>TRIM(CLEAN(Table1[[#This Row],[Region]]))</f>
        <v>North</v>
      </c>
    </row>
    <row r="135" spans="1:11" x14ac:dyDescent="0.3">
      <c r="A135" s="2">
        <v>134</v>
      </c>
      <c r="B135" t="s">
        <v>13</v>
      </c>
      <c r="C135" t="s">
        <v>20</v>
      </c>
      <c r="D135" s="4">
        <v>55.20664421</v>
      </c>
      <c r="E135" s="4">
        <v>479.05474340000001</v>
      </c>
      <c r="F135" s="4">
        <v>396.94173460000002</v>
      </c>
      <c r="G135" s="4">
        <v>174.7491575</v>
      </c>
      <c r="H135" s="4">
        <v>29.727704299999999</v>
      </c>
      <c r="I135" t="s">
        <v>16</v>
      </c>
      <c r="J135" s="1">
        <v>45060</v>
      </c>
      <c r="K135" s="4" t="str">
        <f>TRIM(CLEAN(Table1[[#This Row],[Region]]))</f>
        <v>East</v>
      </c>
    </row>
    <row r="136" spans="1:11" x14ac:dyDescent="0.3">
      <c r="A136" s="2">
        <v>135</v>
      </c>
      <c r="B136" t="s">
        <v>14</v>
      </c>
      <c r="C136" t="s">
        <v>19</v>
      </c>
      <c r="D136" s="4">
        <v>58.470790100000002</v>
      </c>
      <c r="E136" s="4">
        <v>359.54357429999999</v>
      </c>
      <c r="F136" s="4">
        <v>636.96142989999998</v>
      </c>
      <c r="G136" s="4">
        <v>203.97523659999999</v>
      </c>
      <c r="H136" s="4">
        <v>27.81396277</v>
      </c>
      <c r="I136" t="s">
        <v>18</v>
      </c>
      <c r="J136" s="1">
        <v>45061</v>
      </c>
      <c r="K136" s="4" t="str">
        <f>TRIM(CLEAN(Table1[[#This Row],[Region]]))</f>
        <v>North</v>
      </c>
    </row>
    <row r="137" spans="1:11" x14ac:dyDescent="0.3">
      <c r="A137" s="2">
        <v>136</v>
      </c>
      <c r="B137" t="s">
        <v>12</v>
      </c>
      <c r="C137" t="s">
        <v>19</v>
      </c>
      <c r="D137" s="4">
        <v>62.225009149999998</v>
      </c>
      <c r="E137" s="4">
        <v>358.35023649999999</v>
      </c>
      <c r="F137" s="4">
        <v>338.54200320000001</v>
      </c>
      <c r="G137" s="4">
        <v>203.26752980000001</v>
      </c>
      <c r="H137" s="4">
        <v>21.871092010000002</v>
      </c>
      <c r="I137" t="s">
        <v>20</v>
      </c>
      <c r="J137" s="1">
        <v>45062</v>
      </c>
      <c r="K137" s="4" t="str">
        <f>TRIM(CLEAN(Table1[[#This Row],[Region]]))</f>
        <v>South</v>
      </c>
    </row>
    <row r="138" spans="1:11" x14ac:dyDescent="0.3">
      <c r="A138" s="2">
        <v>137</v>
      </c>
      <c r="B138" t="s">
        <v>20</v>
      </c>
      <c r="C138" t="s">
        <v>19</v>
      </c>
      <c r="D138" s="4">
        <v>62.145092849999997</v>
      </c>
      <c r="E138" s="4">
        <v>623.51218219999998</v>
      </c>
      <c r="F138" s="4">
        <v>641.60036690000004</v>
      </c>
      <c r="G138" s="4">
        <v>203.98782629999999</v>
      </c>
      <c r="H138" s="4">
        <v>26.137925039999999</v>
      </c>
      <c r="I138" t="s">
        <v>18</v>
      </c>
      <c r="J138" s="1">
        <v>45063</v>
      </c>
      <c r="K138" s="4" t="str">
        <f>TRIM(CLEAN(Table1[[#This Row],[Region]]))</f>
        <v>Unknown</v>
      </c>
    </row>
    <row r="139" spans="1:11" x14ac:dyDescent="0.3">
      <c r="A139" s="2">
        <v>138</v>
      </c>
      <c r="B139" t="s">
        <v>12</v>
      </c>
      <c r="C139" t="s">
        <v>19</v>
      </c>
      <c r="D139" s="4">
        <v>49.104773899999998</v>
      </c>
      <c r="E139" s="4">
        <v>467.99080190000001</v>
      </c>
      <c r="F139" s="4">
        <v>423.07854700000001</v>
      </c>
      <c r="G139" s="4">
        <v>157.0383429</v>
      </c>
      <c r="H139" s="4">
        <v>34.447706160000003</v>
      </c>
      <c r="I139" t="s">
        <v>16</v>
      </c>
      <c r="J139" s="1">
        <v>45064</v>
      </c>
      <c r="K139" s="4" t="str">
        <f>TRIM(CLEAN(Table1[[#This Row],[Region]]))</f>
        <v>South</v>
      </c>
    </row>
    <row r="140" spans="1:11" x14ac:dyDescent="0.3">
      <c r="A140" s="2">
        <v>139</v>
      </c>
      <c r="B140" t="s">
        <v>14</v>
      </c>
      <c r="C140" t="s">
        <v>20</v>
      </c>
      <c r="D140" s="4">
        <v>53.626556219999998</v>
      </c>
      <c r="E140" s="4">
        <v>460.33378399999998</v>
      </c>
      <c r="F140" s="4">
        <v>488.8121423</v>
      </c>
      <c r="G140" s="4">
        <v>189.69377460000001</v>
      </c>
      <c r="H140" s="4">
        <v>37.941470760000001</v>
      </c>
      <c r="I140" t="s">
        <v>20</v>
      </c>
      <c r="J140" s="1">
        <v>45065</v>
      </c>
      <c r="K140" s="4" t="str">
        <f>TRIM(CLEAN(Table1[[#This Row],[Region]]))</f>
        <v>North</v>
      </c>
    </row>
    <row r="141" spans="1:11" x14ac:dyDescent="0.3">
      <c r="A141" s="2">
        <v>140</v>
      </c>
      <c r="B141" t="s">
        <v>10</v>
      </c>
      <c r="C141" t="s">
        <v>19</v>
      </c>
      <c r="D141" s="4">
        <v>62.987385039999999</v>
      </c>
      <c r="E141" s="4">
        <v>548.25240489999999</v>
      </c>
      <c r="F141" s="4">
        <v>439.6345604</v>
      </c>
      <c r="G141" s="4">
        <v>238.01609379999999</v>
      </c>
      <c r="H141" s="4">
        <v>33.256375220000002</v>
      </c>
      <c r="I141" t="s">
        <v>20</v>
      </c>
      <c r="J141" s="1">
        <v>45066</v>
      </c>
      <c r="K141" s="4" t="str">
        <f>TRIM(CLEAN(Table1[[#This Row],[Region]]))</f>
        <v>West</v>
      </c>
    </row>
    <row r="142" spans="1:11" x14ac:dyDescent="0.3">
      <c r="A142" s="2">
        <v>141</v>
      </c>
      <c r="B142" t="s">
        <v>20</v>
      </c>
      <c r="C142" t="s">
        <v>20</v>
      </c>
      <c r="D142" s="4">
        <v>46.966915380000003</v>
      </c>
      <c r="E142" s="4">
        <v>462.94094769999998</v>
      </c>
      <c r="F142" s="4">
        <v>633.88361689999999</v>
      </c>
      <c r="G142" s="4">
        <v>191.00916839999999</v>
      </c>
      <c r="H142" s="4">
        <v>37.718488800000003</v>
      </c>
      <c r="I142" t="s">
        <v>18</v>
      </c>
      <c r="J142" s="1">
        <v>45067</v>
      </c>
      <c r="K142" s="4" t="str">
        <f>TRIM(CLEAN(Table1[[#This Row],[Region]]))</f>
        <v>Unknown</v>
      </c>
    </row>
    <row r="143" spans="1:11" x14ac:dyDescent="0.3">
      <c r="A143" s="2">
        <v>142</v>
      </c>
      <c r="B143" t="s">
        <v>14</v>
      </c>
      <c r="C143" t="s">
        <v>20</v>
      </c>
      <c r="D143" s="4">
        <v>53.79726187</v>
      </c>
      <c r="E143" s="4">
        <v>710.38060919999998</v>
      </c>
      <c r="F143" s="4">
        <v>610.52878120000003</v>
      </c>
      <c r="G143" s="4">
        <v>208.08909560000001</v>
      </c>
      <c r="H143" s="4">
        <v>30.426943049999998</v>
      </c>
      <c r="I143" t="s">
        <v>16</v>
      </c>
      <c r="J143" s="1">
        <v>45068</v>
      </c>
      <c r="K143" s="4" t="str">
        <f>TRIM(CLEAN(Table1[[#This Row],[Region]]))</f>
        <v>North</v>
      </c>
    </row>
    <row r="144" spans="1:11" x14ac:dyDescent="0.3">
      <c r="A144" s="2">
        <v>143</v>
      </c>
      <c r="B144" t="s">
        <v>10</v>
      </c>
      <c r="C144" t="s">
        <v>17</v>
      </c>
      <c r="D144" s="4">
        <v>46.731192200000002</v>
      </c>
      <c r="E144" s="4">
        <v>472.69802390000001</v>
      </c>
      <c r="F144" s="4">
        <v>533.22020650000002</v>
      </c>
      <c r="G144" s="4">
        <v>208.35185000000001</v>
      </c>
      <c r="H144" s="4">
        <v>38.71188042</v>
      </c>
      <c r="I144" t="s">
        <v>18</v>
      </c>
      <c r="J144" s="1">
        <v>45069</v>
      </c>
      <c r="K144" s="4" t="str">
        <f>TRIM(CLEAN(Table1[[#This Row],[Region]]))</f>
        <v>West</v>
      </c>
    </row>
    <row r="145" spans="1:11" x14ac:dyDescent="0.3">
      <c r="A145" s="2">
        <v>144</v>
      </c>
      <c r="B145" t="s">
        <v>12</v>
      </c>
      <c r="C145" t="s">
        <v>20</v>
      </c>
      <c r="D145" s="4">
        <v>44.490518860000002</v>
      </c>
      <c r="E145" s="4">
        <v>536.51254119999999</v>
      </c>
      <c r="F145" s="4">
        <v>341.77579379999997</v>
      </c>
      <c r="G145" s="4">
        <v>220.86975649999999</v>
      </c>
      <c r="H145" s="4">
        <v>40.2724422</v>
      </c>
      <c r="I145" t="s">
        <v>18</v>
      </c>
      <c r="J145" s="1">
        <v>45070</v>
      </c>
      <c r="K145" s="4" t="str">
        <f>TRIM(CLEAN(Table1[[#This Row],[Region]]))</f>
        <v>South</v>
      </c>
    </row>
    <row r="146" spans="1:11" x14ac:dyDescent="0.3">
      <c r="A146" s="2">
        <v>145</v>
      </c>
      <c r="B146" t="s">
        <v>14</v>
      </c>
      <c r="C146" t="s">
        <v>15</v>
      </c>
      <c r="D146" s="4">
        <v>50.483851180000002</v>
      </c>
      <c r="E146" s="4">
        <v>597.09413310000002</v>
      </c>
      <c r="F146" s="4">
        <v>394.19737579999997</v>
      </c>
      <c r="G146" s="4">
        <v>227.93254580000001</v>
      </c>
      <c r="H146" s="4">
        <v>21.332652509999999</v>
      </c>
      <c r="I146" t="s">
        <v>16</v>
      </c>
      <c r="J146" s="1">
        <v>45071</v>
      </c>
      <c r="K146" s="4" t="str">
        <f>TRIM(CLEAN(Table1[[#This Row],[Region]]))</f>
        <v>North</v>
      </c>
    </row>
    <row r="147" spans="1:11" x14ac:dyDescent="0.3">
      <c r="A147" s="2">
        <v>146</v>
      </c>
      <c r="B147" t="s">
        <v>20</v>
      </c>
      <c r="C147" t="s">
        <v>20</v>
      </c>
      <c r="D147" s="4">
        <v>43.124565490000002</v>
      </c>
      <c r="E147" s="4">
        <v>660.22532260000003</v>
      </c>
      <c r="F147" s="4">
        <v>356.57081690000001</v>
      </c>
      <c r="G147" s="4">
        <v>191.29246950000001</v>
      </c>
      <c r="H147" s="4">
        <v>31.107466540000001</v>
      </c>
      <c r="I147" t="s">
        <v>16</v>
      </c>
      <c r="J147" s="1">
        <v>45072</v>
      </c>
      <c r="K147" s="4" t="str">
        <f>TRIM(CLEAN(Table1[[#This Row],[Region]]))</f>
        <v>Unknown</v>
      </c>
    </row>
    <row r="148" spans="1:11" x14ac:dyDescent="0.3">
      <c r="A148" s="2">
        <v>147</v>
      </c>
      <c r="B148" t="s">
        <v>20</v>
      </c>
      <c r="C148" t="s">
        <v>20</v>
      </c>
      <c r="D148" s="4">
        <v>48.690840270000002</v>
      </c>
      <c r="E148" s="4">
        <v>425.7993864</v>
      </c>
      <c r="F148" s="4">
        <v>210.22285360000001</v>
      </c>
      <c r="G148" s="4">
        <v>154.43323480000001</v>
      </c>
      <c r="H148" s="4">
        <v>30.43215095</v>
      </c>
      <c r="I148" t="s">
        <v>16</v>
      </c>
      <c r="J148" s="1">
        <v>45073</v>
      </c>
      <c r="K148" s="4" t="str">
        <f>TRIM(CLEAN(Table1[[#This Row],[Region]]))</f>
        <v>Unknown</v>
      </c>
    </row>
    <row r="149" spans="1:11" x14ac:dyDescent="0.3">
      <c r="A149" s="2">
        <v>148</v>
      </c>
      <c r="B149" t="s">
        <v>21</v>
      </c>
      <c r="C149" t="s">
        <v>20</v>
      </c>
      <c r="D149" s="4">
        <v>198.2522568</v>
      </c>
      <c r="E149" s="4">
        <v>1832.8145979999999</v>
      </c>
      <c r="F149" s="4">
        <v>631.35817220000001</v>
      </c>
      <c r="G149" s="4">
        <v>139.06423359999999</v>
      </c>
      <c r="H149" s="4">
        <v>27.879480919999999</v>
      </c>
      <c r="I149" t="s">
        <v>20</v>
      </c>
      <c r="J149" s="1">
        <v>45074</v>
      </c>
      <c r="K149" s="4" t="str">
        <f>TRIM(CLEAN(Table1[[#This Row],[Region]]))</f>
        <v>South</v>
      </c>
    </row>
    <row r="150" spans="1:11" x14ac:dyDescent="0.3">
      <c r="A150" s="2">
        <v>149</v>
      </c>
      <c r="B150" t="s">
        <v>14</v>
      </c>
      <c r="C150" t="s">
        <v>19</v>
      </c>
      <c r="D150" s="4">
        <v>48.100056129999999</v>
      </c>
      <c r="E150" s="4">
        <v>627.45918749999998</v>
      </c>
      <c r="F150" s="4">
        <v>440.66117680000002</v>
      </c>
      <c r="G150" s="4">
        <v>250.8843206</v>
      </c>
      <c r="H150" s="4">
        <v>32.459577690000003</v>
      </c>
      <c r="I150" t="s">
        <v>20</v>
      </c>
      <c r="J150" s="1">
        <v>45075</v>
      </c>
      <c r="K150" s="4" t="str">
        <f>TRIM(CLEAN(Table1[[#This Row],[Region]]))</f>
        <v>North</v>
      </c>
    </row>
    <row r="151" spans="1:11" x14ac:dyDescent="0.3">
      <c r="A151" s="2">
        <v>150</v>
      </c>
      <c r="B151" t="s">
        <v>13</v>
      </c>
      <c r="C151" t="s">
        <v>15</v>
      </c>
      <c r="D151" s="4">
        <v>54.48390294</v>
      </c>
      <c r="E151" s="4">
        <v>581.00623040000005</v>
      </c>
      <c r="F151" s="4">
        <v>439.3807243</v>
      </c>
      <c r="G151" s="4">
        <v>238.51252239999999</v>
      </c>
      <c r="H151" s="4">
        <v>30.205625340000001</v>
      </c>
      <c r="I151" t="s">
        <v>18</v>
      </c>
      <c r="J151" s="1">
        <v>45076</v>
      </c>
      <c r="K151" s="4" t="str">
        <f>TRIM(CLEAN(Table1[[#This Row],[Region]]))</f>
        <v>East</v>
      </c>
    </row>
    <row r="152" spans="1:11" x14ac:dyDescent="0.3">
      <c r="A152" s="2">
        <v>151</v>
      </c>
      <c r="B152" t="s">
        <v>10</v>
      </c>
      <c r="C152" t="s">
        <v>15</v>
      </c>
      <c r="D152" s="4">
        <v>44.112364640000003</v>
      </c>
      <c r="E152" s="4">
        <v>607.51759360000005</v>
      </c>
      <c r="F152" s="4">
        <v>659.53226800000004</v>
      </c>
      <c r="G152" s="4">
        <v>232.46823420000001</v>
      </c>
      <c r="H152" s="4">
        <v>26.322755399999998</v>
      </c>
      <c r="I152" t="s">
        <v>20</v>
      </c>
      <c r="J152" s="1">
        <v>45077</v>
      </c>
      <c r="K152" s="4" t="str">
        <f>TRIM(CLEAN(Table1[[#This Row],[Region]]))</f>
        <v>West</v>
      </c>
    </row>
    <row r="153" spans="1:11" x14ac:dyDescent="0.3">
      <c r="A153" s="2">
        <v>152</v>
      </c>
      <c r="B153" t="s">
        <v>21</v>
      </c>
      <c r="C153" t="s">
        <v>19</v>
      </c>
      <c r="D153" s="4">
        <v>50.092917530000001</v>
      </c>
      <c r="E153" s="4">
        <v>363.12954559999997</v>
      </c>
      <c r="F153" s="4">
        <v>422.8813677</v>
      </c>
      <c r="G153" s="4">
        <v>240.56017639999999</v>
      </c>
      <c r="H153" s="4">
        <v>29.866974469999999</v>
      </c>
      <c r="I153" t="s">
        <v>18</v>
      </c>
      <c r="J153" s="1">
        <v>45078</v>
      </c>
      <c r="K153" s="4" t="str">
        <f>TRIM(CLEAN(Table1[[#This Row],[Region]]))</f>
        <v>South</v>
      </c>
    </row>
    <row r="154" spans="1:11" x14ac:dyDescent="0.3">
      <c r="A154" s="2">
        <v>153</v>
      </c>
      <c r="B154" t="s">
        <v>13</v>
      </c>
      <c r="C154" t="s">
        <v>17</v>
      </c>
      <c r="D154" s="4">
        <v>51.39342594</v>
      </c>
      <c r="E154" s="4">
        <v>654.79997539999999</v>
      </c>
      <c r="F154" s="4">
        <v>379.14348769999998</v>
      </c>
      <c r="G154" s="4">
        <v>191.92220080000001</v>
      </c>
      <c r="H154" s="4">
        <v>36.022972899999999</v>
      </c>
      <c r="I154" t="s">
        <v>18</v>
      </c>
      <c r="J154" s="1">
        <v>45079</v>
      </c>
      <c r="K154" s="4" t="str">
        <f>TRIM(CLEAN(Table1[[#This Row],[Region]]))</f>
        <v>East</v>
      </c>
    </row>
    <row r="155" spans="1:11" x14ac:dyDescent="0.3">
      <c r="A155" s="2">
        <v>154</v>
      </c>
      <c r="B155" t="s">
        <v>13</v>
      </c>
      <c r="C155" t="s">
        <v>20</v>
      </c>
      <c r="D155" s="4">
        <v>54.525348919999999</v>
      </c>
      <c r="E155" s="4">
        <v>423.85924569999997</v>
      </c>
      <c r="F155" s="4">
        <v>453.03052550000001</v>
      </c>
      <c r="G155" s="4">
        <v>168.7561791</v>
      </c>
      <c r="H155" s="4">
        <v>30.912690479999998</v>
      </c>
      <c r="I155" t="s">
        <v>18</v>
      </c>
      <c r="J155" s="1">
        <v>45080</v>
      </c>
      <c r="K155" s="4" t="str">
        <f>TRIM(CLEAN(Table1[[#This Row],[Region]]))</f>
        <v>East</v>
      </c>
    </row>
    <row r="156" spans="1:11" x14ac:dyDescent="0.3">
      <c r="A156" s="2">
        <v>155</v>
      </c>
      <c r="B156" t="s">
        <v>14</v>
      </c>
      <c r="C156" t="s">
        <v>11</v>
      </c>
      <c r="D156" s="4">
        <v>48.664201589999998</v>
      </c>
      <c r="E156" s="4">
        <v>519.22929780000004</v>
      </c>
      <c r="F156" s="4">
        <v>344.07971379999998</v>
      </c>
      <c r="G156" s="4">
        <v>150.97962949999999</v>
      </c>
      <c r="H156" s="4">
        <v>33.13477374</v>
      </c>
      <c r="I156" t="s">
        <v>16</v>
      </c>
      <c r="J156" s="1">
        <v>45081</v>
      </c>
      <c r="K156" s="4" t="str">
        <f>TRIM(CLEAN(Table1[[#This Row],[Region]]))</f>
        <v>North</v>
      </c>
    </row>
    <row r="157" spans="1:11" x14ac:dyDescent="0.3">
      <c r="A157" s="2">
        <v>156</v>
      </c>
      <c r="B157" t="s">
        <v>13</v>
      </c>
      <c r="C157" t="s">
        <v>17</v>
      </c>
      <c r="D157" s="4">
        <v>60.858663419999999</v>
      </c>
      <c r="E157" s="4">
        <v>485.17771219999997</v>
      </c>
      <c r="F157" s="4">
        <v>521.32269229999997</v>
      </c>
      <c r="G157" s="4">
        <v>145.53250019999999</v>
      </c>
      <c r="H157" s="4">
        <v>28.614734500000001</v>
      </c>
      <c r="I157" t="s">
        <v>16</v>
      </c>
      <c r="J157" s="1">
        <v>45082</v>
      </c>
      <c r="K157" s="4" t="str">
        <f>TRIM(CLEAN(Table1[[#This Row],[Region]]))</f>
        <v>East</v>
      </c>
    </row>
    <row r="158" spans="1:11" x14ac:dyDescent="0.3">
      <c r="A158" s="2">
        <v>157</v>
      </c>
      <c r="B158" t="s">
        <v>14</v>
      </c>
      <c r="C158" t="s">
        <v>17</v>
      </c>
      <c r="D158" s="4">
        <v>28.990811390000001</v>
      </c>
      <c r="E158" s="4">
        <v>412.15171629999998</v>
      </c>
      <c r="F158" s="4">
        <v>435.16055060000002</v>
      </c>
      <c r="G158" s="4">
        <v>260.60793439999998</v>
      </c>
      <c r="H158" s="4">
        <v>32.260320049999997</v>
      </c>
      <c r="I158" t="s">
        <v>20</v>
      </c>
      <c r="J158" s="1">
        <v>45083</v>
      </c>
      <c r="K158" s="4" t="str">
        <f>TRIM(CLEAN(Table1[[#This Row],[Region]]))</f>
        <v>North</v>
      </c>
    </row>
    <row r="159" spans="1:11" x14ac:dyDescent="0.3">
      <c r="A159" s="2">
        <v>158</v>
      </c>
      <c r="B159" t="s">
        <v>20</v>
      </c>
      <c r="C159" t="s">
        <v>15</v>
      </c>
      <c r="D159" s="4">
        <v>79.377528470000001</v>
      </c>
      <c r="E159" s="4">
        <v>358.74642369999998</v>
      </c>
      <c r="F159" s="4">
        <v>419.12743069999999</v>
      </c>
      <c r="G159" s="4">
        <v>175.34275719999999</v>
      </c>
      <c r="H159" s="4">
        <v>23.953927350000001</v>
      </c>
      <c r="I159" t="s">
        <v>20</v>
      </c>
      <c r="J159" s="1">
        <v>45084</v>
      </c>
      <c r="K159" s="4" t="str">
        <f>TRIM(CLEAN(Table1[[#This Row],[Region]]))</f>
        <v>Unknown</v>
      </c>
    </row>
    <row r="160" spans="1:11" x14ac:dyDescent="0.3">
      <c r="A160" s="2">
        <v>159</v>
      </c>
      <c r="B160" t="s">
        <v>21</v>
      </c>
      <c r="C160" t="s">
        <v>17</v>
      </c>
      <c r="D160" s="4">
        <v>50.539879999999997</v>
      </c>
      <c r="E160" s="4">
        <v>325.6151883</v>
      </c>
      <c r="F160" s="4">
        <v>408.7316194</v>
      </c>
      <c r="G160" s="4">
        <v>252.7429535</v>
      </c>
      <c r="H160" s="4">
        <v>27.501397499999999</v>
      </c>
      <c r="I160" t="s">
        <v>20</v>
      </c>
      <c r="J160" s="1">
        <v>45085</v>
      </c>
      <c r="K160" s="4" t="str">
        <f>TRIM(CLEAN(Table1[[#This Row],[Region]]))</f>
        <v>South</v>
      </c>
    </row>
    <row r="161" spans="1:11" x14ac:dyDescent="0.3">
      <c r="A161" s="2">
        <v>160</v>
      </c>
      <c r="B161" t="s">
        <v>13</v>
      </c>
      <c r="C161" t="s">
        <v>20</v>
      </c>
      <c r="D161" s="4">
        <v>54.03390023</v>
      </c>
      <c r="E161" s="4">
        <v>511.90184060000001</v>
      </c>
      <c r="F161" s="4">
        <v>467.25342069999999</v>
      </c>
      <c r="G161" s="4">
        <v>190.6557085</v>
      </c>
      <c r="H161" s="4">
        <v>29.486656960000001</v>
      </c>
      <c r="I161" t="s">
        <v>18</v>
      </c>
      <c r="J161" s="1">
        <v>45086</v>
      </c>
      <c r="K161" s="4" t="str">
        <f>TRIM(CLEAN(Table1[[#This Row],[Region]]))</f>
        <v>East</v>
      </c>
    </row>
    <row r="162" spans="1:11" x14ac:dyDescent="0.3">
      <c r="A162" s="2">
        <v>161</v>
      </c>
      <c r="B162" t="s">
        <v>14</v>
      </c>
      <c r="C162" t="s">
        <v>20</v>
      </c>
      <c r="D162" s="4">
        <v>40.6153209</v>
      </c>
      <c r="E162" s="4">
        <v>347.46809100000002</v>
      </c>
      <c r="F162" s="4">
        <v>490.01773509999998</v>
      </c>
      <c r="G162" s="4">
        <v>166.18793959999999</v>
      </c>
      <c r="H162" s="4">
        <v>23.618320400000002</v>
      </c>
      <c r="I162" t="s">
        <v>18</v>
      </c>
      <c r="J162" s="1">
        <v>45087</v>
      </c>
      <c r="K162" s="4" t="str">
        <f>TRIM(CLEAN(Table1[[#This Row],[Region]]))</f>
        <v>North</v>
      </c>
    </row>
    <row r="163" spans="1:11" x14ac:dyDescent="0.3">
      <c r="A163" s="2">
        <v>162</v>
      </c>
      <c r="B163" t="s">
        <v>14</v>
      </c>
      <c r="C163" t="s">
        <v>19</v>
      </c>
      <c r="D163" s="4">
        <v>50.539879999999997</v>
      </c>
      <c r="E163" s="4">
        <v>386.61844050000002</v>
      </c>
      <c r="F163" s="4">
        <v>417.60298940000001</v>
      </c>
      <c r="G163" s="4">
        <v>145.28176010000001</v>
      </c>
      <c r="H163" s="4">
        <v>25.848916410000001</v>
      </c>
      <c r="I163" t="s">
        <v>20</v>
      </c>
      <c r="J163" s="1">
        <v>45088</v>
      </c>
      <c r="K163" s="4" t="str">
        <f>TRIM(CLEAN(Table1[[#This Row],[Region]]))</f>
        <v>North</v>
      </c>
    </row>
    <row r="164" spans="1:11" x14ac:dyDescent="0.3">
      <c r="A164" s="2">
        <v>163</v>
      </c>
      <c r="B164" t="s">
        <v>12</v>
      </c>
      <c r="C164" t="s">
        <v>20</v>
      </c>
      <c r="D164" s="4">
        <v>50.539879999999997</v>
      </c>
      <c r="E164" s="4">
        <v>478.1964122</v>
      </c>
      <c r="F164" s="4">
        <v>436.94808769999997</v>
      </c>
      <c r="G164" s="4">
        <v>170.5922822</v>
      </c>
      <c r="H164" s="4">
        <v>31.565558840000001</v>
      </c>
      <c r="I164" t="s">
        <v>20</v>
      </c>
      <c r="J164" s="1">
        <v>45089</v>
      </c>
      <c r="K164" s="4" t="str">
        <f>TRIM(CLEAN(Table1[[#This Row],[Region]]))</f>
        <v>South</v>
      </c>
    </row>
    <row r="165" spans="1:11" x14ac:dyDescent="0.3">
      <c r="A165" s="2">
        <v>164</v>
      </c>
      <c r="B165" t="s">
        <v>20</v>
      </c>
      <c r="C165" t="s">
        <v>20</v>
      </c>
      <c r="D165" s="4">
        <v>43.49286463</v>
      </c>
      <c r="E165" s="4">
        <v>236.11914999999999</v>
      </c>
      <c r="F165" s="4">
        <v>470.21726080000002</v>
      </c>
      <c r="G165" s="4">
        <v>270.91193909999998</v>
      </c>
      <c r="H165" s="4">
        <v>30.649159579999999</v>
      </c>
      <c r="I165" t="s">
        <v>18</v>
      </c>
      <c r="J165" s="1">
        <v>45090</v>
      </c>
      <c r="K165" s="4" t="str">
        <f>TRIM(CLEAN(Table1[[#This Row],[Region]]))</f>
        <v>Unknown</v>
      </c>
    </row>
    <row r="166" spans="1:11" x14ac:dyDescent="0.3">
      <c r="A166" s="2">
        <v>165</v>
      </c>
      <c r="B166" t="s">
        <v>20</v>
      </c>
      <c r="C166" t="s">
        <v>15</v>
      </c>
      <c r="D166" s="4">
        <v>60.730873449999997</v>
      </c>
      <c r="E166" s="4">
        <v>577.89797120000003</v>
      </c>
      <c r="F166" s="4">
        <v>458.10982369999999</v>
      </c>
      <c r="G166" s="4">
        <v>145.78949600000001</v>
      </c>
      <c r="H166" s="4">
        <v>34.031827120000003</v>
      </c>
      <c r="I166" t="s">
        <v>18</v>
      </c>
      <c r="J166" s="1">
        <v>45091</v>
      </c>
      <c r="K166" s="4" t="str">
        <f>TRIM(CLEAN(Table1[[#This Row],[Region]]))</f>
        <v>Unknown</v>
      </c>
    </row>
    <row r="167" spans="1:11" x14ac:dyDescent="0.3">
      <c r="A167" s="2">
        <v>166</v>
      </c>
      <c r="B167" t="s">
        <v>21</v>
      </c>
      <c r="C167" t="s">
        <v>20</v>
      </c>
      <c r="D167" s="4">
        <v>48.360391200000002</v>
      </c>
      <c r="E167" s="4">
        <v>259.01118330000003</v>
      </c>
      <c r="F167" s="4">
        <v>483.72911599999998</v>
      </c>
      <c r="G167" s="4">
        <v>305.8373411</v>
      </c>
      <c r="H167" s="4">
        <v>26.997444909999999</v>
      </c>
      <c r="I167" t="s">
        <v>18</v>
      </c>
      <c r="J167" s="1">
        <v>45092</v>
      </c>
      <c r="K167" s="4" t="str">
        <f>TRIM(CLEAN(Table1[[#This Row],[Region]]))</f>
        <v>South</v>
      </c>
    </row>
    <row r="168" spans="1:11" x14ac:dyDescent="0.3">
      <c r="A168" s="2">
        <v>167</v>
      </c>
      <c r="B168" t="s">
        <v>20</v>
      </c>
      <c r="C168" t="s">
        <v>19</v>
      </c>
      <c r="D168" s="4">
        <v>55.472159380000001</v>
      </c>
      <c r="E168" s="4">
        <v>492.26276089999999</v>
      </c>
      <c r="F168" s="4">
        <v>398.79950359999998</v>
      </c>
      <c r="G168" s="4">
        <v>157.96962859999999</v>
      </c>
      <c r="H168" s="4">
        <v>30.288011130000001</v>
      </c>
      <c r="I168" t="s">
        <v>18</v>
      </c>
      <c r="J168" s="1">
        <v>45093</v>
      </c>
      <c r="K168" s="4" t="str">
        <f>TRIM(CLEAN(Table1[[#This Row],[Region]]))</f>
        <v>Unknown</v>
      </c>
    </row>
    <row r="169" spans="1:11" x14ac:dyDescent="0.3">
      <c r="A169" s="2">
        <v>168</v>
      </c>
      <c r="B169" t="s">
        <v>13</v>
      </c>
      <c r="C169" t="s">
        <v>11</v>
      </c>
      <c r="D169" s="4">
        <v>40.82840195</v>
      </c>
      <c r="E169" s="4">
        <v>501.50192270000002</v>
      </c>
      <c r="F169" s="4">
        <v>600.55114909999998</v>
      </c>
      <c r="G169" s="4">
        <v>237.49749850000001</v>
      </c>
      <c r="H169" s="4">
        <v>26.640662949999999</v>
      </c>
      <c r="I169" t="s">
        <v>20</v>
      </c>
      <c r="J169" s="1">
        <v>45094</v>
      </c>
      <c r="K169" s="4" t="str">
        <f>TRIM(CLEAN(Table1[[#This Row],[Region]]))</f>
        <v>East</v>
      </c>
    </row>
    <row r="170" spans="1:11" x14ac:dyDescent="0.3">
      <c r="A170" s="2">
        <v>169</v>
      </c>
      <c r="B170" t="s">
        <v>14</v>
      </c>
      <c r="C170" t="s">
        <v>15</v>
      </c>
      <c r="D170" s="4">
        <v>49.691123640000001</v>
      </c>
      <c r="E170" s="4">
        <v>553.80617199999995</v>
      </c>
      <c r="F170" s="4">
        <v>491.61938129999999</v>
      </c>
      <c r="G170" s="4">
        <v>192.73743529999999</v>
      </c>
      <c r="H170" s="4">
        <v>33.530642749999998</v>
      </c>
      <c r="I170" t="s">
        <v>16</v>
      </c>
      <c r="J170" s="1">
        <v>45095</v>
      </c>
      <c r="K170" s="4" t="str">
        <f>TRIM(CLEAN(Table1[[#This Row],[Region]]))</f>
        <v>North</v>
      </c>
    </row>
    <row r="171" spans="1:11" x14ac:dyDescent="0.3">
      <c r="A171" s="2">
        <v>171</v>
      </c>
      <c r="B171" t="s">
        <v>20</v>
      </c>
      <c r="C171" t="s">
        <v>15</v>
      </c>
      <c r="D171" s="4">
        <v>59.629655290000002</v>
      </c>
      <c r="E171" s="4">
        <v>701.79079639999998</v>
      </c>
      <c r="F171" s="4">
        <v>521.32610609999995</v>
      </c>
      <c r="G171" s="4">
        <v>136.42896110000001</v>
      </c>
      <c r="H171" s="4">
        <v>32.416624140000003</v>
      </c>
      <c r="I171" t="s">
        <v>20</v>
      </c>
      <c r="J171" s="1">
        <v>45097</v>
      </c>
      <c r="K171" s="4" t="str">
        <f>TRIM(CLEAN(Table1[[#This Row],[Region]]))</f>
        <v>Unknown</v>
      </c>
    </row>
    <row r="172" spans="1:11" x14ac:dyDescent="0.3">
      <c r="A172" s="2">
        <v>172</v>
      </c>
      <c r="B172" t="s">
        <v>12</v>
      </c>
      <c r="C172" t="s">
        <v>19</v>
      </c>
      <c r="D172" s="4">
        <v>53.076207549999999</v>
      </c>
      <c r="E172" s="4">
        <v>521.63168819999999</v>
      </c>
      <c r="F172" s="4">
        <v>471.0757681</v>
      </c>
      <c r="G172" s="4">
        <v>195.08035090000001</v>
      </c>
      <c r="H172" s="4">
        <v>35.305971380000003</v>
      </c>
      <c r="I172" t="s">
        <v>20</v>
      </c>
      <c r="J172" s="1">
        <v>45098</v>
      </c>
      <c r="K172" s="4" t="str">
        <f>TRIM(CLEAN(Table1[[#This Row],[Region]]))</f>
        <v>South</v>
      </c>
    </row>
    <row r="173" spans="1:11" x14ac:dyDescent="0.3">
      <c r="A173" s="2">
        <v>173</v>
      </c>
      <c r="B173" t="s">
        <v>12</v>
      </c>
      <c r="C173" t="s">
        <v>17</v>
      </c>
      <c r="D173" s="4">
        <v>45.51079172</v>
      </c>
      <c r="E173" s="4">
        <v>605.36123989999999</v>
      </c>
      <c r="F173" s="4">
        <v>271.94083749999999</v>
      </c>
      <c r="G173" s="4">
        <v>142.08570019999999</v>
      </c>
      <c r="H173" s="4">
        <v>30.162499310000001</v>
      </c>
      <c r="I173" t="s">
        <v>20</v>
      </c>
      <c r="J173" s="1">
        <v>45099</v>
      </c>
      <c r="K173" s="4" t="str">
        <f>TRIM(CLEAN(Table1[[#This Row],[Region]]))</f>
        <v>South</v>
      </c>
    </row>
    <row r="174" spans="1:11" x14ac:dyDescent="0.3">
      <c r="A174" s="2">
        <v>174</v>
      </c>
      <c r="B174" t="s">
        <v>10</v>
      </c>
      <c r="C174" t="s">
        <v>19</v>
      </c>
      <c r="D174" s="4">
        <v>50.674985360000001</v>
      </c>
      <c r="E174" s="4">
        <v>427.65371909999999</v>
      </c>
      <c r="F174" s="4">
        <v>520.91432280000004</v>
      </c>
      <c r="G174" s="4">
        <v>115.921145</v>
      </c>
      <c r="H174" s="4">
        <v>34.027969169999999</v>
      </c>
      <c r="I174" t="s">
        <v>20</v>
      </c>
      <c r="J174" s="1">
        <v>45100</v>
      </c>
      <c r="K174" s="4" t="str">
        <f>TRIM(CLEAN(Table1[[#This Row],[Region]]))</f>
        <v>West</v>
      </c>
    </row>
    <row r="175" spans="1:11" x14ac:dyDescent="0.3">
      <c r="A175" s="2">
        <v>175</v>
      </c>
      <c r="B175" t="s">
        <v>14</v>
      </c>
      <c r="C175" t="s">
        <v>20</v>
      </c>
      <c r="D175" s="4">
        <v>51.975659899999997</v>
      </c>
      <c r="E175" s="4">
        <v>512.07568060000006</v>
      </c>
      <c r="F175" s="4">
        <v>357.65925570000002</v>
      </c>
      <c r="G175" s="4">
        <v>205.97993389999999</v>
      </c>
      <c r="H175" s="4">
        <v>30.377088709999999</v>
      </c>
      <c r="I175" t="s">
        <v>18</v>
      </c>
      <c r="J175" s="1">
        <v>45101</v>
      </c>
      <c r="K175" s="4" t="str">
        <f>TRIM(CLEAN(Table1[[#This Row],[Region]]))</f>
        <v>North</v>
      </c>
    </row>
    <row r="176" spans="1:11" x14ac:dyDescent="0.3">
      <c r="A176" s="2">
        <v>177</v>
      </c>
      <c r="B176" t="s">
        <v>20</v>
      </c>
      <c r="C176" t="s">
        <v>20</v>
      </c>
      <c r="D176" s="4">
        <v>39.233394920000002</v>
      </c>
      <c r="E176" s="4">
        <v>476.23048749999998</v>
      </c>
      <c r="F176" s="4">
        <v>450.99004330000002</v>
      </c>
      <c r="G176" s="4">
        <v>284.2174258</v>
      </c>
      <c r="H176" s="4">
        <v>31.233606940000001</v>
      </c>
      <c r="I176" t="s">
        <v>16</v>
      </c>
      <c r="J176" s="1">
        <v>45103</v>
      </c>
      <c r="K176" s="4" t="str">
        <f>TRIM(CLEAN(Table1[[#This Row],[Region]]))</f>
        <v>Unknown</v>
      </c>
    </row>
    <row r="177" spans="1:11" x14ac:dyDescent="0.3">
      <c r="A177" s="2">
        <v>178</v>
      </c>
      <c r="B177" t="s">
        <v>20</v>
      </c>
      <c r="C177" t="s">
        <v>17</v>
      </c>
      <c r="D177" s="4">
        <v>56.684079609999998</v>
      </c>
      <c r="E177" s="4">
        <v>519.22347639999998</v>
      </c>
      <c r="F177" s="4">
        <v>573.60843569999997</v>
      </c>
      <c r="G177" s="4">
        <v>250.0010858</v>
      </c>
      <c r="H177" s="4">
        <v>25.023516529999998</v>
      </c>
      <c r="I177" t="s">
        <v>16</v>
      </c>
      <c r="J177" s="1">
        <v>45104</v>
      </c>
      <c r="K177" s="4" t="str">
        <f>TRIM(CLEAN(Table1[[#This Row],[Region]]))</f>
        <v>Unknown</v>
      </c>
    </row>
    <row r="178" spans="1:11" x14ac:dyDescent="0.3">
      <c r="A178" s="2">
        <v>179</v>
      </c>
      <c r="B178" t="s">
        <v>14</v>
      </c>
      <c r="C178" t="s">
        <v>15</v>
      </c>
      <c r="D178" s="4">
        <v>39.104069019999997</v>
      </c>
      <c r="E178" s="4">
        <v>598.0853449</v>
      </c>
      <c r="F178" s="4">
        <v>404.37377359999999</v>
      </c>
      <c r="G178" s="4">
        <v>284.8716091</v>
      </c>
      <c r="H178" s="4">
        <v>41.69564476</v>
      </c>
      <c r="I178" t="s">
        <v>16</v>
      </c>
      <c r="J178" s="1">
        <v>45105</v>
      </c>
      <c r="K178" s="4" t="str">
        <f>TRIM(CLEAN(Table1[[#This Row],[Region]]))</f>
        <v>North</v>
      </c>
    </row>
    <row r="179" spans="1:11" x14ac:dyDescent="0.3">
      <c r="A179" s="2">
        <v>180</v>
      </c>
      <c r="B179" t="s">
        <v>10</v>
      </c>
      <c r="C179" t="s">
        <v>17</v>
      </c>
      <c r="D179" s="4">
        <v>66.311258519999996</v>
      </c>
      <c r="E179" s="4">
        <v>425.77704799999998</v>
      </c>
      <c r="F179" s="4">
        <v>488.3915121</v>
      </c>
      <c r="G179" s="4">
        <v>165.9558548</v>
      </c>
      <c r="H179" s="4">
        <v>28.329559209999999</v>
      </c>
      <c r="I179" t="s">
        <v>18</v>
      </c>
      <c r="J179" s="1">
        <v>45106</v>
      </c>
      <c r="K179" s="4" t="str">
        <f>TRIM(CLEAN(Table1[[#This Row],[Region]]))</f>
        <v>West</v>
      </c>
    </row>
    <row r="180" spans="1:11" x14ac:dyDescent="0.3">
      <c r="A180" s="2">
        <v>181</v>
      </c>
      <c r="B180" t="s">
        <v>14</v>
      </c>
      <c r="C180" t="s">
        <v>19</v>
      </c>
      <c r="D180" s="4">
        <v>42.283716779999999</v>
      </c>
      <c r="E180" s="4">
        <v>283.84396670000001</v>
      </c>
      <c r="F180" s="4">
        <v>625.22922010000002</v>
      </c>
      <c r="G180" s="4">
        <v>206.80688699999999</v>
      </c>
      <c r="H180" s="4">
        <v>33.225189280000002</v>
      </c>
      <c r="I180" t="s">
        <v>20</v>
      </c>
      <c r="J180" s="1">
        <v>45107</v>
      </c>
      <c r="K180" s="4" t="str">
        <f>TRIM(CLEAN(Table1[[#This Row],[Region]]))</f>
        <v>North</v>
      </c>
    </row>
    <row r="181" spans="1:11" x14ac:dyDescent="0.3">
      <c r="A181" s="2">
        <v>182</v>
      </c>
      <c r="B181" t="s">
        <v>10</v>
      </c>
      <c r="C181" t="s">
        <v>17</v>
      </c>
      <c r="D181" s="4">
        <v>52.966283199999999</v>
      </c>
      <c r="E181" s="4">
        <v>525.55736539999998</v>
      </c>
      <c r="F181" s="4">
        <v>447.71801440000002</v>
      </c>
      <c r="G181" s="4">
        <v>68.966452020000006</v>
      </c>
      <c r="H181" s="4">
        <v>29.937933900000001</v>
      </c>
      <c r="I181" t="s">
        <v>20</v>
      </c>
      <c r="J181" s="1">
        <v>45108</v>
      </c>
      <c r="K181" s="4" t="str">
        <f>TRIM(CLEAN(Table1[[#This Row],[Region]]))</f>
        <v>West</v>
      </c>
    </row>
    <row r="182" spans="1:11" x14ac:dyDescent="0.3">
      <c r="A182" s="2">
        <v>183</v>
      </c>
      <c r="B182" t="s">
        <v>21</v>
      </c>
      <c r="C182" t="s">
        <v>19</v>
      </c>
      <c r="D182" s="4">
        <v>60.051425729999998</v>
      </c>
      <c r="E182" s="4">
        <v>598.86691689999998</v>
      </c>
      <c r="F182" s="4">
        <v>409.10194819999998</v>
      </c>
      <c r="G182" s="4">
        <v>185.90988100000001</v>
      </c>
      <c r="H182" s="4">
        <v>23.83193288</v>
      </c>
      <c r="I182" t="s">
        <v>20</v>
      </c>
      <c r="J182" s="1">
        <v>45109</v>
      </c>
      <c r="K182" s="4" t="str">
        <f>TRIM(CLEAN(Table1[[#This Row],[Region]]))</f>
        <v>South</v>
      </c>
    </row>
    <row r="183" spans="1:11" x14ac:dyDescent="0.3">
      <c r="A183" s="2">
        <v>184</v>
      </c>
      <c r="B183" t="s">
        <v>14</v>
      </c>
      <c r="C183" t="s">
        <v>17</v>
      </c>
      <c r="D183" s="4">
        <v>47.476199569999999</v>
      </c>
      <c r="E183" s="4">
        <v>364.85542349999997</v>
      </c>
      <c r="F183" s="4">
        <v>558.60487369999998</v>
      </c>
      <c r="G183" s="4">
        <v>204.9249174</v>
      </c>
      <c r="H183" s="4">
        <v>20.507384850000001</v>
      </c>
      <c r="I183" t="s">
        <v>18</v>
      </c>
      <c r="J183" s="1">
        <v>45110</v>
      </c>
      <c r="K183" s="4" t="str">
        <f>TRIM(CLEAN(Table1[[#This Row],[Region]]))</f>
        <v>North</v>
      </c>
    </row>
    <row r="184" spans="1:11" x14ac:dyDescent="0.3">
      <c r="A184" s="2">
        <v>185</v>
      </c>
      <c r="B184" t="s">
        <v>20</v>
      </c>
      <c r="C184" t="s">
        <v>19</v>
      </c>
      <c r="D184" s="4">
        <v>53.40600019</v>
      </c>
      <c r="E184" s="4">
        <v>567.02198969999995</v>
      </c>
      <c r="F184" s="4">
        <v>556.27939160000005</v>
      </c>
      <c r="G184" s="4">
        <v>207.70240390000001</v>
      </c>
      <c r="H184" s="4">
        <v>33.745069780000001</v>
      </c>
      <c r="I184" t="s">
        <v>18</v>
      </c>
      <c r="J184" s="1">
        <v>45111</v>
      </c>
      <c r="K184" s="4" t="str">
        <f>TRIM(CLEAN(Table1[[#This Row],[Region]]))</f>
        <v>Unknown</v>
      </c>
    </row>
    <row r="185" spans="1:11" x14ac:dyDescent="0.3">
      <c r="A185" s="2">
        <v>186</v>
      </c>
      <c r="B185" t="s">
        <v>20</v>
      </c>
      <c r="C185" t="s">
        <v>11</v>
      </c>
      <c r="D185" s="4">
        <v>199.94968879999999</v>
      </c>
      <c r="E185" s="4">
        <v>567.69663869999999</v>
      </c>
      <c r="F185" s="4">
        <v>414.150104</v>
      </c>
      <c r="G185" s="4">
        <v>197.88157949999999</v>
      </c>
      <c r="H185" s="4">
        <v>37.746704630000004</v>
      </c>
      <c r="I185" t="s">
        <v>18</v>
      </c>
      <c r="J185" s="1">
        <v>45112</v>
      </c>
      <c r="K185" s="4" t="str">
        <f>TRIM(CLEAN(Table1[[#This Row],[Region]]))</f>
        <v>Unknown</v>
      </c>
    </row>
    <row r="186" spans="1:11" x14ac:dyDescent="0.3">
      <c r="A186" s="2">
        <v>187</v>
      </c>
      <c r="B186" t="s">
        <v>14</v>
      </c>
      <c r="C186" t="s">
        <v>20</v>
      </c>
      <c r="D186" s="4">
        <v>55.644029879999998</v>
      </c>
      <c r="E186" s="4">
        <v>503.25760000000002</v>
      </c>
      <c r="F186" s="4">
        <v>241.74467749999999</v>
      </c>
      <c r="G186" s="4">
        <v>203.32962860000001</v>
      </c>
      <c r="H186" s="4">
        <v>26.325981460000001</v>
      </c>
      <c r="I186" t="s">
        <v>16</v>
      </c>
      <c r="J186" s="1">
        <v>45113</v>
      </c>
      <c r="K186" s="4" t="str">
        <f>TRIM(CLEAN(Table1[[#This Row],[Region]]))</f>
        <v>North</v>
      </c>
    </row>
    <row r="187" spans="1:11" x14ac:dyDescent="0.3">
      <c r="A187" s="2">
        <v>188</v>
      </c>
      <c r="B187" t="s">
        <v>20</v>
      </c>
      <c r="C187" t="s">
        <v>20</v>
      </c>
      <c r="D187" s="4">
        <v>211.01235869999999</v>
      </c>
      <c r="E187" s="4">
        <v>406.37113679999999</v>
      </c>
      <c r="F187" s="4">
        <v>406.79724270000003</v>
      </c>
      <c r="G187" s="4">
        <v>64.337868290000003</v>
      </c>
      <c r="H187" s="4">
        <v>21.7165374</v>
      </c>
      <c r="I187" t="s">
        <v>18</v>
      </c>
      <c r="J187" s="1">
        <v>45114</v>
      </c>
      <c r="K187" s="4" t="str">
        <f>TRIM(CLEAN(Table1[[#This Row],[Region]]))</f>
        <v>Unknown</v>
      </c>
    </row>
    <row r="188" spans="1:11" x14ac:dyDescent="0.3">
      <c r="A188" s="2">
        <v>189</v>
      </c>
      <c r="B188" t="s">
        <v>13</v>
      </c>
      <c r="C188" t="s">
        <v>19</v>
      </c>
      <c r="D188" s="4">
        <v>33.152146049999999</v>
      </c>
      <c r="E188" s="4">
        <v>460.41712189999998</v>
      </c>
      <c r="F188" s="4">
        <v>561.28314260000002</v>
      </c>
      <c r="G188" s="4">
        <v>212.81109180000001</v>
      </c>
      <c r="H188" s="4">
        <v>28.374186340000001</v>
      </c>
      <c r="I188" t="s">
        <v>18</v>
      </c>
      <c r="J188" s="1">
        <v>45115</v>
      </c>
      <c r="K188" s="4" t="str">
        <f>TRIM(CLEAN(Table1[[#This Row],[Region]]))</f>
        <v>East</v>
      </c>
    </row>
    <row r="189" spans="1:11" x14ac:dyDescent="0.3">
      <c r="A189" s="2">
        <v>190</v>
      </c>
      <c r="B189" t="s">
        <v>14</v>
      </c>
      <c r="C189" t="s">
        <v>20</v>
      </c>
      <c r="D189" s="4">
        <v>40.662777470000002</v>
      </c>
      <c r="E189" s="4">
        <v>482.0376</v>
      </c>
      <c r="F189" s="4">
        <v>386.99589730000002</v>
      </c>
      <c r="G189" s="4">
        <v>224.1719946</v>
      </c>
      <c r="H189" s="4">
        <v>25.314414769999999</v>
      </c>
      <c r="I189" t="s">
        <v>20</v>
      </c>
      <c r="J189" s="1">
        <v>45116</v>
      </c>
      <c r="K189" s="4" t="str">
        <f>TRIM(CLEAN(Table1[[#This Row],[Region]]))</f>
        <v>North</v>
      </c>
    </row>
    <row r="190" spans="1:11" x14ac:dyDescent="0.3">
      <c r="A190" s="2">
        <v>191</v>
      </c>
      <c r="B190" t="s">
        <v>10</v>
      </c>
      <c r="C190" t="s">
        <v>15</v>
      </c>
      <c r="D190" s="4">
        <v>60.46920128</v>
      </c>
      <c r="E190" s="4">
        <v>425.68657350000001</v>
      </c>
      <c r="F190" s="4">
        <v>478.68745960000001</v>
      </c>
      <c r="G190" s="4">
        <v>266.90127009999998</v>
      </c>
      <c r="H190" s="4">
        <v>26.7484216</v>
      </c>
      <c r="I190" t="s">
        <v>16</v>
      </c>
      <c r="J190" s="1">
        <v>45117</v>
      </c>
      <c r="K190" s="4" t="str">
        <f>TRIM(CLEAN(Table1[[#This Row],[Region]]))</f>
        <v>West</v>
      </c>
    </row>
    <row r="191" spans="1:11" x14ac:dyDescent="0.3">
      <c r="A191" s="2">
        <v>192</v>
      </c>
      <c r="B191" t="s">
        <v>14</v>
      </c>
      <c r="C191" t="s">
        <v>17</v>
      </c>
      <c r="D191" s="4">
        <v>55.699503049999997</v>
      </c>
      <c r="E191" s="4">
        <v>420.2997196</v>
      </c>
      <c r="F191" s="4">
        <v>401.10180739999998</v>
      </c>
      <c r="G191" s="4">
        <v>218.436903</v>
      </c>
      <c r="H191" s="4">
        <v>33.051868499999998</v>
      </c>
      <c r="I191" t="s">
        <v>18</v>
      </c>
      <c r="J191" s="1">
        <v>45118</v>
      </c>
      <c r="K191" s="4" t="str">
        <f>TRIM(CLEAN(Table1[[#This Row],[Region]]))</f>
        <v>North</v>
      </c>
    </row>
    <row r="192" spans="1:11" x14ac:dyDescent="0.3">
      <c r="A192" s="2">
        <v>193</v>
      </c>
      <c r="B192" t="s">
        <v>20</v>
      </c>
      <c r="C192" t="s">
        <v>19</v>
      </c>
      <c r="D192" s="4">
        <v>57.214662740000001</v>
      </c>
      <c r="E192" s="4">
        <v>667.14828910000006</v>
      </c>
      <c r="F192" s="4">
        <v>248.13994049999999</v>
      </c>
      <c r="G192" s="4">
        <v>193.46314670000001</v>
      </c>
      <c r="H192" s="4">
        <v>29.747684759999999</v>
      </c>
      <c r="I192" t="s">
        <v>18</v>
      </c>
      <c r="J192" s="1">
        <v>45119</v>
      </c>
      <c r="K192" s="4" t="str">
        <f>TRIM(CLEAN(Table1[[#This Row],[Region]]))</f>
        <v>Unknown</v>
      </c>
    </row>
    <row r="193" spans="1:11" x14ac:dyDescent="0.3">
      <c r="A193" s="2">
        <v>194</v>
      </c>
      <c r="B193" t="s">
        <v>13</v>
      </c>
      <c r="C193" t="s">
        <v>15</v>
      </c>
      <c r="D193" s="4">
        <v>239.9521173</v>
      </c>
      <c r="E193" s="4">
        <v>489.24408679999999</v>
      </c>
      <c r="F193" s="4">
        <v>398.94225879999999</v>
      </c>
      <c r="G193" s="4">
        <v>255.24709609999999</v>
      </c>
      <c r="H193" s="4">
        <v>25.852462209999999</v>
      </c>
      <c r="I193" t="s">
        <v>18</v>
      </c>
      <c r="J193" s="1">
        <v>45120</v>
      </c>
      <c r="K193" s="4" t="str">
        <f>TRIM(CLEAN(Table1[[#This Row],[Region]]))</f>
        <v>East</v>
      </c>
    </row>
    <row r="194" spans="1:11" x14ac:dyDescent="0.3">
      <c r="A194" s="2">
        <v>195</v>
      </c>
      <c r="B194" t="s">
        <v>13</v>
      </c>
      <c r="C194" t="s">
        <v>15</v>
      </c>
      <c r="D194" s="4">
        <v>62.897565280000002</v>
      </c>
      <c r="E194" s="4">
        <v>430.495634</v>
      </c>
      <c r="F194" s="4">
        <v>560.77584249999995</v>
      </c>
      <c r="G194" s="4">
        <v>82.133288769999993</v>
      </c>
      <c r="H194" s="4">
        <v>32.942503930000001</v>
      </c>
      <c r="I194" t="s">
        <v>16</v>
      </c>
      <c r="J194" s="1">
        <v>45121</v>
      </c>
      <c r="K194" s="4" t="str">
        <f>TRIM(CLEAN(Table1[[#This Row],[Region]]))</f>
        <v>East</v>
      </c>
    </row>
    <row r="195" spans="1:11" x14ac:dyDescent="0.3">
      <c r="A195" s="2">
        <v>196</v>
      </c>
      <c r="B195" t="s">
        <v>21</v>
      </c>
      <c r="C195" t="s">
        <v>19</v>
      </c>
      <c r="D195" s="4">
        <v>47.386000750000001</v>
      </c>
      <c r="E195" s="4">
        <v>495.88305229999997</v>
      </c>
      <c r="F195" s="4">
        <v>195.56970240000001</v>
      </c>
      <c r="G195" s="4">
        <v>174.25257350000001</v>
      </c>
      <c r="H195" s="4">
        <v>33.334361729999998</v>
      </c>
      <c r="I195" t="s">
        <v>18</v>
      </c>
      <c r="J195" s="1">
        <v>45122</v>
      </c>
      <c r="K195" s="4" t="str">
        <f>TRIM(CLEAN(Table1[[#This Row],[Region]]))</f>
        <v>South</v>
      </c>
    </row>
    <row r="196" spans="1:11" x14ac:dyDescent="0.3">
      <c r="A196" s="2">
        <v>197</v>
      </c>
      <c r="B196" t="s">
        <v>10</v>
      </c>
      <c r="C196" t="s">
        <v>20</v>
      </c>
      <c r="D196" s="4">
        <v>51.20499959</v>
      </c>
      <c r="E196" s="4">
        <v>553.70908329999997</v>
      </c>
      <c r="F196" s="4">
        <v>510.26008209999998</v>
      </c>
      <c r="G196" s="4">
        <v>161.70950099999999</v>
      </c>
      <c r="H196" s="4">
        <v>28.314712570000001</v>
      </c>
      <c r="I196" t="s">
        <v>20</v>
      </c>
      <c r="J196" s="1">
        <v>45123</v>
      </c>
      <c r="K196" s="4" t="str">
        <f>TRIM(CLEAN(Table1[[#This Row],[Region]]))</f>
        <v>West</v>
      </c>
    </row>
    <row r="197" spans="1:11" x14ac:dyDescent="0.3">
      <c r="A197" s="2">
        <v>198</v>
      </c>
      <c r="B197" t="s">
        <v>12</v>
      </c>
      <c r="C197" t="s">
        <v>11</v>
      </c>
      <c r="D197" s="4">
        <v>39.71325667</v>
      </c>
      <c r="E197" s="4">
        <v>505.1626377</v>
      </c>
      <c r="F197" s="4">
        <v>337.6716922</v>
      </c>
      <c r="G197" s="4">
        <v>198.27391</v>
      </c>
      <c r="H197" s="4">
        <v>30.689582600000001</v>
      </c>
      <c r="I197" t="s">
        <v>16</v>
      </c>
      <c r="J197" s="1">
        <v>45124</v>
      </c>
      <c r="K197" s="4" t="str">
        <f>TRIM(CLEAN(Table1[[#This Row],[Region]]))</f>
        <v>South</v>
      </c>
    </row>
    <row r="198" spans="1:11" x14ac:dyDescent="0.3">
      <c r="A198" s="2">
        <v>199</v>
      </c>
      <c r="B198" t="s">
        <v>12</v>
      </c>
      <c r="C198" t="s">
        <v>11</v>
      </c>
      <c r="D198" s="4">
        <v>37.219774170000001</v>
      </c>
      <c r="E198" s="4">
        <v>479.42724090000002</v>
      </c>
      <c r="F198" s="4">
        <v>553.01304830000004</v>
      </c>
      <c r="G198" s="4">
        <v>90.065359389999998</v>
      </c>
      <c r="H198" s="4">
        <v>32.602509419999997</v>
      </c>
      <c r="I198" t="s">
        <v>16</v>
      </c>
      <c r="J198" s="1">
        <v>45125</v>
      </c>
      <c r="K198" s="4" t="str">
        <f>TRIM(CLEAN(Table1[[#This Row],[Region]]))</f>
        <v>South</v>
      </c>
    </row>
    <row r="199" spans="1:11" x14ac:dyDescent="0.3">
      <c r="A199" s="2">
        <v>200</v>
      </c>
      <c r="B199" t="s">
        <v>14</v>
      </c>
      <c r="C199" t="s">
        <v>19</v>
      </c>
      <c r="D199" s="4">
        <v>33.562592840000001</v>
      </c>
      <c r="E199" s="4">
        <v>434.99833310000002</v>
      </c>
      <c r="F199" s="4">
        <v>565.71827229999997</v>
      </c>
      <c r="G199" s="4">
        <v>265.98178309999997</v>
      </c>
      <c r="H199" s="4">
        <v>32.13051565</v>
      </c>
      <c r="I199" t="s">
        <v>18</v>
      </c>
      <c r="J199" s="1">
        <v>45126</v>
      </c>
      <c r="K199" s="4" t="str">
        <f>TRIM(CLEAN(Table1[[#This Row],[Region]]))</f>
        <v>North</v>
      </c>
    </row>
    <row r="200" spans="1:11" x14ac:dyDescent="0.3">
      <c r="A200" s="2">
        <v>201</v>
      </c>
      <c r="B200" t="s">
        <v>21</v>
      </c>
      <c r="C200" t="s">
        <v>11</v>
      </c>
      <c r="D200" s="4">
        <v>41.148365009999999</v>
      </c>
      <c r="E200" s="4">
        <v>433.78691550000002</v>
      </c>
      <c r="F200" s="4">
        <v>459.3662478</v>
      </c>
      <c r="G200" s="4">
        <v>187.50950499999999</v>
      </c>
      <c r="H200" s="4">
        <v>30.20307043</v>
      </c>
      <c r="I200" t="s">
        <v>18</v>
      </c>
      <c r="J200" s="1">
        <v>45127</v>
      </c>
      <c r="K200" s="4" t="str">
        <f>TRIM(CLEAN(Table1[[#This Row],[Region]]))</f>
        <v>South</v>
      </c>
    </row>
    <row r="201" spans="1:11" x14ac:dyDescent="0.3">
      <c r="A201" s="2">
        <v>202</v>
      </c>
      <c r="B201" t="s">
        <v>14</v>
      </c>
      <c r="C201" t="s">
        <v>17</v>
      </c>
      <c r="D201" s="4">
        <v>65.52561815</v>
      </c>
      <c r="E201" s="4">
        <v>440.21916140000002</v>
      </c>
      <c r="F201" s="4">
        <v>459.63982090000002</v>
      </c>
      <c r="G201" s="4">
        <v>215.93983460000001</v>
      </c>
      <c r="H201" s="4">
        <v>37.162930590000002</v>
      </c>
      <c r="I201" t="s">
        <v>18</v>
      </c>
      <c r="J201" s="1">
        <v>45128</v>
      </c>
      <c r="K201" s="4" t="str">
        <f>TRIM(CLEAN(Table1[[#This Row],[Region]]))</f>
        <v>North</v>
      </c>
    </row>
    <row r="202" spans="1:11" x14ac:dyDescent="0.3">
      <c r="A202" s="2">
        <v>203</v>
      </c>
      <c r="B202" t="s">
        <v>14</v>
      </c>
      <c r="C202" t="s">
        <v>11</v>
      </c>
      <c r="D202" s="4">
        <v>34.472729319999999</v>
      </c>
      <c r="E202" s="4">
        <v>533.88146010000003</v>
      </c>
      <c r="F202" s="4">
        <v>383.23647629999999</v>
      </c>
      <c r="G202" s="4">
        <v>211.15456130000001</v>
      </c>
      <c r="H202" s="4">
        <v>32.913404069999999</v>
      </c>
      <c r="I202" t="s">
        <v>16</v>
      </c>
      <c r="J202" s="1">
        <v>45129</v>
      </c>
      <c r="K202" s="4" t="str">
        <f>TRIM(CLEAN(Table1[[#This Row],[Region]]))</f>
        <v>North</v>
      </c>
    </row>
    <row r="203" spans="1:11" x14ac:dyDescent="0.3">
      <c r="A203" s="2">
        <v>204</v>
      </c>
      <c r="B203" t="s">
        <v>21</v>
      </c>
      <c r="C203" t="s">
        <v>19</v>
      </c>
      <c r="D203" s="4">
        <v>46.96464014</v>
      </c>
      <c r="E203" s="4">
        <v>400.58199080000003</v>
      </c>
      <c r="F203" s="4">
        <v>318.52999199999999</v>
      </c>
      <c r="G203" s="4">
        <v>263.12449470000001</v>
      </c>
      <c r="H203" s="4">
        <v>27.746604919999999</v>
      </c>
      <c r="I203" t="s">
        <v>18</v>
      </c>
      <c r="J203" s="1">
        <v>45130</v>
      </c>
      <c r="K203" s="4" t="str">
        <f>TRIM(CLEAN(Table1[[#This Row],[Region]]))</f>
        <v>South</v>
      </c>
    </row>
    <row r="204" spans="1:11" x14ac:dyDescent="0.3">
      <c r="A204" s="2">
        <v>205</v>
      </c>
      <c r="B204" t="s">
        <v>10</v>
      </c>
      <c r="C204" t="s">
        <v>11</v>
      </c>
      <c r="D204" s="4">
        <v>37.068546759999997</v>
      </c>
      <c r="E204" s="4">
        <v>539.32692229999998</v>
      </c>
      <c r="F204" s="4">
        <v>683.77114879999999</v>
      </c>
      <c r="G204" s="4">
        <v>106.9024933</v>
      </c>
      <c r="H204" s="4">
        <v>27.776654659999998</v>
      </c>
      <c r="I204" t="s">
        <v>18</v>
      </c>
      <c r="J204" s="1">
        <v>45131</v>
      </c>
      <c r="K204" s="4" t="str">
        <f>TRIM(CLEAN(Table1[[#This Row],[Region]]))</f>
        <v>West</v>
      </c>
    </row>
    <row r="205" spans="1:11" x14ac:dyDescent="0.3">
      <c r="A205" s="2">
        <v>206</v>
      </c>
      <c r="B205" t="s">
        <v>10</v>
      </c>
      <c r="C205" t="s">
        <v>17</v>
      </c>
      <c r="D205" s="4">
        <v>219.95130180000001</v>
      </c>
      <c r="E205" s="4">
        <v>2565.1979019999999</v>
      </c>
      <c r="F205" s="4">
        <v>376.19142870000002</v>
      </c>
      <c r="G205" s="4">
        <v>205.61605829999999</v>
      </c>
      <c r="H205" s="4">
        <v>27.20956825</v>
      </c>
      <c r="I205" t="s">
        <v>18</v>
      </c>
      <c r="J205" s="1">
        <v>45132</v>
      </c>
      <c r="K205" s="4" t="str">
        <f>TRIM(CLEAN(Table1[[#This Row],[Region]]))</f>
        <v>West</v>
      </c>
    </row>
    <row r="206" spans="1:11" x14ac:dyDescent="0.3">
      <c r="A206" s="2">
        <v>207</v>
      </c>
      <c r="B206" t="s">
        <v>10</v>
      </c>
      <c r="C206" t="s">
        <v>19</v>
      </c>
      <c r="D206" s="4">
        <v>51.696937920000003</v>
      </c>
      <c r="E206" s="4">
        <v>532.57073579999997</v>
      </c>
      <c r="F206" s="4">
        <v>668.13553569999999</v>
      </c>
      <c r="G206" s="4">
        <v>257.30891300000002</v>
      </c>
      <c r="H206" s="4">
        <v>33.160604739999997</v>
      </c>
      <c r="I206" t="s">
        <v>18</v>
      </c>
      <c r="J206" s="1">
        <v>45133</v>
      </c>
      <c r="K206" s="4" t="str">
        <f>TRIM(CLEAN(Table1[[#This Row],[Region]]))</f>
        <v>West</v>
      </c>
    </row>
    <row r="207" spans="1:11" x14ac:dyDescent="0.3">
      <c r="A207" s="2">
        <v>208</v>
      </c>
      <c r="B207" t="s">
        <v>10</v>
      </c>
      <c r="C207" t="s">
        <v>19</v>
      </c>
      <c r="D207" s="4">
        <v>42.99884127</v>
      </c>
      <c r="E207" s="4">
        <v>463.04144710000003</v>
      </c>
      <c r="F207" s="4">
        <v>376.85999520000001</v>
      </c>
      <c r="G207" s="4">
        <v>195.10067770000001</v>
      </c>
      <c r="H207" s="4">
        <v>26.886262200000001</v>
      </c>
      <c r="I207" t="s">
        <v>18</v>
      </c>
      <c r="J207" s="1">
        <v>45134</v>
      </c>
      <c r="K207" s="4" t="str">
        <f>TRIM(CLEAN(Table1[[#This Row],[Region]]))</f>
        <v>West</v>
      </c>
    </row>
    <row r="208" spans="1:11" x14ac:dyDescent="0.3">
      <c r="A208" s="2">
        <v>209</v>
      </c>
      <c r="B208" t="s">
        <v>10</v>
      </c>
      <c r="C208" t="s">
        <v>19</v>
      </c>
      <c r="D208" s="4">
        <v>60.896648650000003</v>
      </c>
      <c r="E208" s="4">
        <v>370.18731150000002</v>
      </c>
      <c r="F208" s="4">
        <v>543.02284680000002</v>
      </c>
      <c r="G208" s="4">
        <v>152.43653029999999</v>
      </c>
      <c r="H208" s="4">
        <v>27.875504549999999</v>
      </c>
      <c r="I208" t="s">
        <v>20</v>
      </c>
      <c r="J208" s="1">
        <v>45135</v>
      </c>
      <c r="K208" s="4" t="str">
        <f>TRIM(CLEAN(Table1[[#This Row],[Region]]))</f>
        <v>West</v>
      </c>
    </row>
    <row r="209" spans="1:11" x14ac:dyDescent="0.3">
      <c r="A209" s="2">
        <v>210</v>
      </c>
      <c r="B209" t="s">
        <v>21</v>
      </c>
      <c r="C209" t="s">
        <v>19</v>
      </c>
      <c r="D209" s="4">
        <v>65.339781209999998</v>
      </c>
      <c r="E209" s="4">
        <v>657.8106808</v>
      </c>
      <c r="F209" s="4">
        <v>343.46314080000002</v>
      </c>
      <c r="G209" s="4">
        <v>169.8054942</v>
      </c>
      <c r="H209" s="4">
        <v>35.290111940000003</v>
      </c>
      <c r="I209" t="s">
        <v>16</v>
      </c>
      <c r="J209" s="1">
        <v>45136</v>
      </c>
      <c r="K209" s="4" t="str">
        <f>TRIM(CLEAN(Table1[[#This Row],[Region]]))</f>
        <v>South</v>
      </c>
    </row>
    <row r="210" spans="1:11" x14ac:dyDescent="0.3">
      <c r="A210" s="2">
        <v>211</v>
      </c>
      <c r="B210" t="s">
        <v>21</v>
      </c>
      <c r="C210" t="s">
        <v>19</v>
      </c>
      <c r="D210" s="4">
        <v>27.50904272</v>
      </c>
      <c r="E210" s="4">
        <v>382.9982349</v>
      </c>
      <c r="F210" s="4">
        <v>480.48430000000002</v>
      </c>
      <c r="G210" s="4">
        <v>180.35289990000001</v>
      </c>
      <c r="H210" s="4">
        <v>30.958159810000001</v>
      </c>
      <c r="I210" t="s">
        <v>16</v>
      </c>
      <c r="J210" s="1">
        <v>45137</v>
      </c>
      <c r="K210" s="4" t="str">
        <f>TRIM(CLEAN(Table1[[#This Row],[Region]]))</f>
        <v>South</v>
      </c>
    </row>
    <row r="211" spans="1:11" x14ac:dyDescent="0.3">
      <c r="A211" s="2">
        <v>212</v>
      </c>
      <c r="B211" t="s">
        <v>13</v>
      </c>
      <c r="C211" t="s">
        <v>15</v>
      </c>
      <c r="D211" s="4">
        <v>43.170076700000003</v>
      </c>
      <c r="E211" s="4">
        <v>584.85620340000003</v>
      </c>
      <c r="F211" s="4">
        <v>440.9295171</v>
      </c>
      <c r="G211" s="4">
        <v>163.94749849999999</v>
      </c>
      <c r="H211" s="4">
        <v>35.992663139999998</v>
      </c>
      <c r="I211" t="s">
        <v>18</v>
      </c>
      <c r="J211" s="1">
        <v>45138</v>
      </c>
      <c r="K211" s="4" t="str">
        <f>TRIM(CLEAN(Table1[[#This Row],[Region]]))</f>
        <v>East</v>
      </c>
    </row>
    <row r="212" spans="1:11" x14ac:dyDescent="0.3">
      <c r="A212" s="2">
        <v>213</v>
      </c>
      <c r="B212" t="s">
        <v>12</v>
      </c>
      <c r="C212" t="s">
        <v>20</v>
      </c>
      <c r="D212" s="4">
        <v>50.591421220000001</v>
      </c>
      <c r="E212" s="4">
        <v>563.85178610000003</v>
      </c>
      <c r="F212" s="4">
        <v>442.4980607</v>
      </c>
      <c r="G212" s="4">
        <v>192.35944409999999</v>
      </c>
      <c r="H212" s="4">
        <v>33.990299370000002</v>
      </c>
      <c r="I212" t="s">
        <v>16</v>
      </c>
      <c r="J212" s="1">
        <v>45139</v>
      </c>
      <c r="K212" s="4" t="str">
        <f>TRIM(CLEAN(Table1[[#This Row],[Region]]))</f>
        <v>South</v>
      </c>
    </row>
    <row r="213" spans="1:11" x14ac:dyDescent="0.3">
      <c r="A213" s="2">
        <v>214</v>
      </c>
      <c r="B213" t="s">
        <v>20</v>
      </c>
      <c r="C213" t="s">
        <v>15</v>
      </c>
      <c r="D213" s="4">
        <v>61.26117026</v>
      </c>
      <c r="E213" s="4">
        <v>476.32313970000001</v>
      </c>
      <c r="F213" s="4">
        <v>553.20278040000005</v>
      </c>
      <c r="G213" s="4">
        <v>275.4123702</v>
      </c>
      <c r="H213" s="4">
        <v>24.11664085</v>
      </c>
      <c r="I213" t="s">
        <v>20</v>
      </c>
      <c r="J213" s="1">
        <v>45140</v>
      </c>
      <c r="K213" s="4" t="str">
        <f>TRIM(CLEAN(Table1[[#This Row],[Region]]))</f>
        <v>Unknown</v>
      </c>
    </row>
    <row r="214" spans="1:11" x14ac:dyDescent="0.3">
      <c r="A214" s="2">
        <v>215</v>
      </c>
      <c r="B214" t="s">
        <v>10</v>
      </c>
      <c r="C214" t="s">
        <v>20</v>
      </c>
      <c r="D214" s="4">
        <v>45.457557250000001</v>
      </c>
      <c r="E214" s="4">
        <v>473.7021196</v>
      </c>
      <c r="F214" s="4">
        <v>423.70303619999999</v>
      </c>
      <c r="G214" s="4">
        <v>170.1317617</v>
      </c>
      <c r="H214" s="4">
        <v>29.489334710000001</v>
      </c>
      <c r="I214" t="s">
        <v>20</v>
      </c>
      <c r="J214" s="1">
        <v>45141</v>
      </c>
      <c r="K214" s="4" t="str">
        <f>TRIM(CLEAN(Table1[[#This Row],[Region]]))</f>
        <v>West</v>
      </c>
    </row>
    <row r="215" spans="1:11" x14ac:dyDescent="0.3">
      <c r="A215" s="2">
        <v>216</v>
      </c>
      <c r="B215" t="s">
        <v>14</v>
      </c>
      <c r="C215" t="s">
        <v>19</v>
      </c>
      <c r="D215" s="4">
        <v>49.800646049999997</v>
      </c>
      <c r="E215" s="4">
        <v>316.42887259999998</v>
      </c>
      <c r="F215" s="4">
        <v>308.62218050000001</v>
      </c>
      <c r="G215" s="4">
        <v>175.6163013</v>
      </c>
      <c r="H215" s="4">
        <v>34.949745200000002</v>
      </c>
      <c r="I215" t="s">
        <v>20</v>
      </c>
      <c r="J215" s="1">
        <v>45142</v>
      </c>
      <c r="K215" s="4" t="str">
        <f>TRIM(CLEAN(Table1[[#This Row],[Region]]))</f>
        <v>North</v>
      </c>
    </row>
    <row r="216" spans="1:11" x14ac:dyDescent="0.3">
      <c r="A216" s="2">
        <v>217</v>
      </c>
      <c r="B216" t="s">
        <v>20</v>
      </c>
      <c r="C216" t="s">
        <v>19</v>
      </c>
      <c r="D216" s="4">
        <v>38.432557750000001</v>
      </c>
      <c r="E216" s="4">
        <v>533.00650010000004</v>
      </c>
      <c r="F216" s="4">
        <v>571.35666760000004</v>
      </c>
      <c r="G216" s="4">
        <v>222.9890292</v>
      </c>
      <c r="H216" s="4">
        <v>23.889119669999999</v>
      </c>
      <c r="I216" t="s">
        <v>20</v>
      </c>
      <c r="J216" s="1">
        <v>45143</v>
      </c>
      <c r="K216" s="4" t="str">
        <f>TRIM(CLEAN(Table1[[#This Row],[Region]]))</f>
        <v>Unknown</v>
      </c>
    </row>
    <row r="217" spans="1:11" x14ac:dyDescent="0.3">
      <c r="A217" s="2">
        <v>218</v>
      </c>
      <c r="B217" t="s">
        <v>21</v>
      </c>
      <c r="C217" t="s">
        <v>20</v>
      </c>
      <c r="D217" s="4">
        <v>34.672041479999997</v>
      </c>
      <c r="E217" s="4">
        <v>561.9926332</v>
      </c>
      <c r="F217" s="4">
        <v>342.49192920000002</v>
      </c>
      <c r="G217" s="4">
        <v>191.25898179999999</v>
      </c>
      <c r="H217" s="4">
        <v>32.098554100000001</v>
      </c>
      <c r="I217" t="s">
        <v>18</v>
      </c>
      <c r="J217" s="1">
        <v>45144</v>
      </c>
      <c r="K217" s="4" t="str">
        <f>TRIM(CLEAN(Table1[[#This Row],[Region]]))</f>
        <v>South</v>
      </c>
    </row>
    <row r="218" spans="1:11" x14ac:dyDescent="0.3">
      <c r="A218" s="2">
        <v>219</v>
      </c>
      <c r="B218" t="s">
        <v>14</v>
      </c>
      <c r="C218" t="s">
        <v>17</v>
      </c>
      <c r="D218" s="4">
        <v>64.453846900000002</v>
      </c>
      <c r="E218" s="4">
        <v>391.09198839999999</v>
      </c>
      <c r="F218" s="4">
        <v>480.48430000000002</v>
      </c>
      <c r="G218" s="4">
        <v>133.5407433</v>
      </c>
      <c r="H218" s="4">
        <v>29.803817630000001</v>
      </c>
      <c r="I218" t="s">
        <v>16</v>
      </c>
      <c r="J218" s="1">
        <v>45145</v>
      </c>
      <c r="K218" s="4" t="str">
        <f>TRIM(CLEAN(Table1[[#This Row],[Region]]))</f>
        <v>North</v>
      </c>
    </row>
    <row r="219" spans="1:11" x14ac:dyDescent="0.3">
      <c r="A219" s="2">
        <v>220</v>
      </c>
      <c r="B219" t="s">
        <v>14</v>
      </c>
      <c r="C219" t="s">
        <v>17</v>
      </c>
      <c r="D219" s="4">
        <v>31.759301260000001</v>
      </c>
      <c r="E219" s="4">
        <v>484.4178526</v>
      </c>
      <c r="F219" s="4">
        <v>596.75958539999999</v>
      </c>
      <c r="G219" s="4">
        <v>196.94057810000001</v>
      </c>
      <c r="H219" s="4">
        <v>21.226056289999999</v>
      </c>
      <c r="I219" t="s">
        <v>16</v>
      </c>
      <c r="J219" s="1">
        <v>45146</v>
      </c>
      <c r="K219" s="4" t="str">
        <f>TRIM(CLEAN(Table1[[#This Row],[Region]]))</f>
        <v>North</v>
      </c>
    </row>
    <row r="220" spans="1:11" x14ac:dyDescent="0.3">
      <c r="A220" s="2">
        <v>221</v>
      </c>
      <c r="B220" t="s">
        <v>14</v>
      </c>
      <c r="C220" t="s">
        <v>11</v>
      </c>
      <c r="D220" s="4">
        <v>73.286190079999997</v>
      </c>
      <c r="E220" s="4">
        <v>503.78619149999997</v>
      </c>
      <c r="F220" s="4">
        <v>434.94073359999999</v>
      </c>
      <c r="G220" s="4">
        <v>199.07849999999999</v>
      </c>
      <c r="H220" s="4">
        <v>30.598296520000002</v>
      </c>
      <c r="I220" t="s">
        <v>18</v>
      </c>
      <c r="J220" s="1">
        <v>45147</v>
      </c>
      <c r="K220" s="4" t="str">
        <f>TRIM(CLEAN(Table1[[#This Row],[Region]]))</f>
        <v>North</v>
      </c>
    </row>
    <row r="221" spans="1:11" x14ac:dyDescent="0.3">
      <c r="A221" s="2">
        <v>222</v>
      </c>
      <c r="B221" t="s">
        <v>13</v>
      </c>
      <c r="C221" t="s">
        <v>20</v>
      </c>
      <c r="D221" s="4">
        <v>57.251513989999999</v>
      </c>
      <c r="E221" s="4">
        <v>558.45726279999997</v>
      </c>
      <c r="F221" s="4">
        <v>480.48430000000002</v>
      </c>
      <c r="G221" s="4">
        <v>248.78391730000001</v>
      </c>
      <c r="H221" s="4">
        <v>25.812659920000002</v>
      </c>
      <c r="I221" t="s">
        <v>16</v>
      </c>
      <c r="J221" s="1">
        <v>45148</v>
      </c>
      <c r="K221" s="4" t="str">
        <f>TRIM(CLEAN(Table1[[#This Row],[Region]]))</f>
        <v>East</v>
      </c>
    </row>
    <row r="222" spans="1:11" x14ac:dyDescent="0.3">
      <c r="A222" s="2">
        <v>223</v>
      </c>
      <c r="B222" t="s">
        <v>21</v>
      </c>
      <c r="C222" t="s">
        <v>19</v>
      </c>
      <c r="D222" s="4">
        <v>80.664005270000004</v>
      </c>
      <c r="E222" s="4">
        <v>500.38030759999998</v>
      </c>
      <c r="F222" s="4">
        <v>537.8140449</v>
      </c>
      <c r="G222" s="4">
        <v>151.3923801</v>
      </c>
      <c r="H222" s="4">
        <v>24.16174109</v>
      </c>
      <c r="I222" t="s">
        <v>18</v>
      </c>
      <c r="J222" s="1">
        <v>45149</v>
      </c>
      <c r="K222" s="4" t="str">
        <f>TRIM(CLEAN(Table1[[#This Row],[Region]]))</f>
        <v>South</v>
      </c>
    </row>
    <row r="223" spans="1:11" x14ac:dyDescent="0.3">
      <c r="A223" s="2">
        <v>224</v>
      </c>
      <c r="B223" t="s">
        <v>14</v>
      </c>
      <c r="C223" t="s">
        <v>15</v>
      </c>
      <c r="D223" s="4">
        <v>55.754686669999998</v>
      </c>
      <c r="E223" s="4">
        <v>337.36806460000003</v>
      </c>
      <c r="F223" s="4">
        <v>396.49662960000001</v>
      </c>
      <c r="G223" s="4">
        <v>249.11597409999999</v>
      </c>
      <c r="H223" s="4">
        <v>30.045703379999999</v>
      </c>
      <c r="I223" t="s">
        <v>18</v>
      </c>
      <c r="J223" s="1">
        <v>45150</v>
      </c>
      <c r="K223" s="4" t="str">
        <f>TRIM(CLEAN(Table1[[#This Row],[Region]]))</f>
        <v>North</v>
      </c>
    </row>
    <row r="224" spans="1:11" x14ac:dyDescent="0.3">
      <c r="A224" s="2">
        <v>225</v>
      </c>
      <c r="B224" t="s">
        <v>10</v>
      </c>
      <c r="C224" t="s">
        <v>19</v>
      </c>
      <c r="D224" s="4">
        <v>47.473143120000003</v>
      </c>
      <c r="E224" s="4">
        <v>447.0062231</v>
      </c>
      <c r="F224" s="4">
        <v>648.17148029999998</v>
      </c>
      <c r="G224" s="4">
        <v>195.10845939999999</v>
      </c>
      <c r="H224" s="4">
        <v>20.345735300000001</v>
      </c>
      <c r="I224" t="s">
        <v>20</v>
      </c>
      <c r="J224" s="1">
        <v>45151</v>
      </c>
      <c r="K224" s="4" t="str">
        <f>TRIM(CLEAN(Table1[[#This Row],[Region]]))</f>
        <v>West</v>
      </c>
    </row>
    <row r="225" spans="1:11" x14ac:dyDescent="0.3">
      <c r="A225" s="2">
        <v>226</v>
      </c>
      <c r="B225" t="s">
        <v>14</v>
      </c>
      <c r="C225" t="s">
        <v>11</v>
      </c>
      <c r="D225" s="4">
        <v>53.920845300000003</v>
      </c>
      <c r="E225" s="4">
        <v>522.46257849999995</v>
      </c>
      <c r="F225" s="4">
        <v>342.9993814</v>
      </c>
      <c r="G225" s="4">
        <v>144.60291649999999</v>
      </c>
      <c r="H225" s="4">
        <v>26.628548540000001</v>
      </c>
      <c r="I225" t="s">
        <v>20</v>
      </c>
      <c r="J225" s="1">
        <v>45152</v>
      </c>
      <c r="K225" s="4" t="str">
        <f>TRIM(CLEAN(Table1[[#This Row],[Region]]))</f>
        <v>North</v>
      </c>
    </row>
    <row r="226" spans="1:11" x14ac:dyDescent="0.3">
      <c r="A226" s="2">
        <v>227</v>
      </c>
      <c r="B226" t="s">
        <v>14</v>
      </c>
      <c r="C226" t="s">
        <v>17</v>
      </c>
      <c r="D226" s="4">
        <v>48.111033120000002</v>
      </c>
      <c r="E226" s="4">
        <v>584.15283420000003</v>
      </c>
      <c r="F226" s="4">
        <v>434.79594839999999</v>
      </c>
      <c r="G226" s="4">
        <v>134.5610844</v>
      </c>
      <c r="H226" s="4">
        <v>42.755871259999999</v>
      </c>
      <c r="I226" t="s">
        <v>16</v>
      </c>
      <c r="J226" s="1">
        <v>45153</v>
      </c>
      <c r="K226" s="4" t="str">
        <f>TRIM(CLEAN(Table1[[#This Row],[Region]]))</f>
        <v>North</v>
      </c>
    </row>
    <row r="227" spans="1:11" x14ac:dyDescent="0.3">
      <c r="A227" s="2">
        <v>228</v>
      </c>
      <c r="B227" t="s">
        <v>13</v>
      </c>
      <c r="C227" t="s">
        <v>15</v>
      </c>
      <c r="D227" s="4">
        <v>55.530732759999999</v>
      </c>
      <c r="E227" s="4">
        <v>438.23633910000001</v>
      </c>
      <c r="F227" s="4">
        <v>455.24222359999999</v>
      </c>
      <c r="G227" s="4">
        <v>296.71942639999997</v>
      </c>
      <c r="H227" s="4">
        <v>33.251111969999997</v>
      </c>
      <c r="I227" t="s">
        <v>16</v>
      </c>
      <c r="J227" s="1">
        <v>45154</v>
      </c>
      <c r="K227" s="4" t="str">
        <f>TRIM(CLEAN(Table1[[#This Row],[Region]]))</f>
        <v>East</v>
      </c>
    </row>
    <row r="228" spans="1:11" x14ac:dyDescent="0.3">
      <c r="A228" s="2">
        <v>229</v>
      </c>
      <c r="B228" t="s">
        <v>20</v>
      </c>
      <c r="C228" t="s">
        <v>15</v>
      </c>
      <c r="D228" s="4">
        <v>49.663134730000003</v>
      </c>
      <c r="E228" s="4">
        <v>718.76498749999996</v>
      </c>
      <c r="F228" s="4">
        <v>552.62684409999997</v>
      </c>
      <c r="G228" s="4">
        <v>192.00419890000001</v>
      </c>
      <c r="H228" s="4">
        <v>25.592875469999999</v>
      </c>
      <c r="I228" t="s">
        <v>20</v>
      </c>
      <c r="J228" s="1">
        <v>45155</v>
      </c>
      <c r="K228" s="4" t="str">
        <f>TRIM(CLEAN(Table1[[#This Row],[Region]]))</f>
        <v>Unknown</v>
      </c>
    </row>
    <row r="229" spans="1:11" x14ac:dyDescent="0.3">
      <c r="A229" s="2">
        <v>230</v>
      </c>
      <c r="B229" t="s">
        <v>21</v>
      </c>
      <c r="C229" t="s">
        <v>19</v>
      </c>
      <c r="D229" s="4">
        <v>40.496518170000002</v>
      </c>
      <c r="E229" s="4">
        <v>310.5526931</v>
      </c>
      <c r="F229" s="4">
        <v>613.85199569999997</v>
      </c>
      <c r="G229" s="4">
        <v>246.82520579999999</v>
      </c>
      <c r="H229" s="4">
        <v>37.0208297</v>
      </c>
      <c r="I229" t="s">
        <v>18</v>
      </c>
      <c r="J229" s="1">
        <v>45156</v>
      </c>
      <c r="K229" s="4" t="str">
        <f>TRIM(CLEAN(Table1[[#This Row],[Region]]))</f>
        <v>South</v>
      </c>
    </row>
    <row r="230" spans="1:11" x14ac:dyDescent="0.3">
      <c r="A230" s="2">
        <v>231</v>
      </c>
      <c r="B230" t="s">
        <v>13</v>
      </c>
      <c r="C230" t="s">
        <v>20</v>
      </c>
      <c r="D230" s="4">
        <v>41.294273840000002</v>
      </c>
      <c r="E230" s="4">
        <v>443.62998249999998</v>
      </c>
      <c r="F230" s="4">
        <v>606.33498680000002</v>
      </c>
      <c r="G230" s="4">
        <v>114.5940303</v>
      </c>
      <c r="H230" s="4">
        <v>25.039782200000001</v>
      </c>
      <c r="I230" t="s">
        <v>16</v>
      </c>
      <c r="J230" s="1">
        <v>45157</v>
      </c>
      <c r="K230" s="4" t="str">
        <f>TRIM(CLEAN(Table1[[#This Row],[Region]]))</f>
        <v>East</v>
      </c>
    </row>
    <row r="231" spans="1:11" x14ac:dyDescent="0.3">
      <c r="A231" s="2">
        <v>232</v>
      </c>
      <c r="B231" t="s">
        <v>14</v>
      </c>
      <c r="C231" t="s">
        <v>17</v>
      </c>
      <c r="D231" s="4">
        <v>40.157276250000002</v>
      </c>
      <c r="E231" s="4">
        <v>491.69663969999999</v>
      </c>
      <c r="F231" s="4">
        <v>506.84979829999997</v>
      </c>
      <c r="G231" s="4">
        <v>331.88474439999999</v>
      </c>
      <c r="H231" s="4">
        <v>27.231524230000002</v>
      </c>
      <c r="I231" t="s">
        <v>16</v>
      </c>
      <c r="J231" s="1">
        <v>45158</v>
      </c>
      <c r="K231" s="4" t="str">
        <f>TRIM(CLEAN(Table1[[#This Row],[Region]]))</f>
        <v>North</v>
      </c>
    </row>
    <row r="232" spans="1:11" x14ac:dyDescent="0.3">
      <c r="A232" s="2">
        <v>233</v>
      </c>
      <c r="B232" t="s">
        <v>21</v>
      </c>
      <c r="C232" t="s">
        <v>19</v>
      </c>
      <c r="D232" s="4">
        <v>59.709007319999998</v>
      </c>
      <c r="E232" s="4">
        <v>479.92508359999999</v>
      </c>
      <c r="F232" s="4">
        <v>446.36770749999999</v>
      </c>
      <c r="G232" s="4">
        <v>244.6622314</v>
      </c>
      <c r="H232" s="4">
        <v>24.255742949999998</v>
      </c>
      <c r="I232" t="s">
        <v>20</v>
      </c>
      <c r="J232" s="1">
        <v>45159</v>
      </c>
      <c r="K232" s="4" t="str">
        <f>TRIM(CLEAN(Table1[[#This Row],[Region]]))</f>
        <v>South</v>
      </c>
    </row>
    <row r="233" spans="1:11" x14ac:dyDescent="0.3">
      <c r="A233" s="2">
        <v>234</v>
      </c>
      <c r="B233" t="s">
        <v>14</v>
      </c>
      <c r="C233" t="s">
        <v>15</v>
      </c>
      <c r="D233" s="4">
        <v>43.825533880000002</v>
      </c>
      <c r="E233" s="4">
        <v>376.78576700000002</v>
      </c>
      <c r="F233" s="4">
        <v>260.881891</v>
      </c>
      <c r="G233" s="4">
        <v>187.22798929999999</v>
      </c>
      <c r="H233" s="4">
        <v>31.280399389999999</v>
      </c>
      <c r="I233" t="s">
        <v>20</v>
      </c>
      <c r="J233" s="1">
        <v>45160</v>
      </c>
      <c r="K233" s="4" t="str">
        <f>TRIM(CLEAN(Table1[[#This Row],[Region]]))</f>
        <v>North</v>
      </c>
    </row>
    <row r="234" spans="1:11" x14ac:dyDescent="0.3">
      <c r="A234" s="2">
        <v>235</v>
      </c>
      <c r="B234" t="s">
        <v>14</v>
      </c>
      <c r="C234" t="s">
        <v>19</v>
      </c>
      <c r="D234" s="4">
        <v>30.878968390000001</v>
      </c>
      <c r="E234" s="4">
        <v>544.78617480000003</v>
      </c>
      <c r="F234" s="4">
        <v>322.30249750000002</v>
      </c>
      <c r="G234" s="4">
        <v>184.6917071</v>
      </c>
      <c r="H234" s="4">
        <v>36.843148110000001</v>
      </c>
      <c r="I234" t="s">
        <v>20</v>
      </c>
      <c r="J234" s="1">
        <v>45161</v>
      </c>
      <c r="K234" s="4" t="str">
        <f>TRIM(CLEAN(Table1[[#This Row],[Region]]))</f>
        <v>North</v>
      </c>
    </row>
    <row r="235" spans="1:11" x14ac:dyDescent="0.3">
      <c r="A235" s="2">
        <v>236</v>
      </c>
      <c r="B235" t="s">
        <v>13</v>
      </c>
      <c r="C235" t="s">
        <v>19</v>
      </c>
      <c r="D235" s="4">
        <v>53.96838666</v>
      </c>
      <c r="E235" s="4">
        <v>537.1094051</v>
      </c>
      <c r="F235" s="4">
        <v>691.99865869999996</v>
      </c>
      <c r="G235" s="4">
        <v>236.7299064</v>
      </c>
      <c r="H235" s="4">
        <v>25.00496884</v>
      </c>
      <c r="I235" t="s">
        <v>18</v>
      </c>
      <c r="J235" s="1">
        <v>45162</v>
      </c>
      <c r="K235" s="4" t="str">
        <f>TRIM(CLEAN(Table1[[#This Row],[Region]]))</f>
        <v>East</v>
      </c>
    </row>
    <row r="236" spans="1:11" x14ac:dyDescent="0.3">
      <c r="A236" s="2">
        <v>237</v>
      </c>
      <c r="B236" t="s">
        <v>12</v>
      </c>
      <c r="C236" t="s">
        <v>20</v>
      </c>
      <c r="D236" s="4">
        <v>65.145175629999997</v>
      </c>
      <c r="E236" s="4">
        <v>504.79614459999999</v>
      </c>
      <c r="F236" s="4">
        <v>259.67136149999999</v>
      </c>
      <c r="G236" s="4">
        <v>233.85908430000001</v>
      </c>
      <c r="H236" s="4">
        <v>19.697784810000002</v>
      </c>
      <c r="I236" t="s">
        <v>16</v>
      </c>
      <c r="J236" s="1">
        <v>45163</v>
      </c>
      <c r="K236" s="4" t="str">
        <f>TRIM(CLEAN(Table1[[#This Row],[Region]]))</f>
        <v>South</v>
      </c>
    </row>
    <row r="237" spans="1:11" x14ac:dyDescent="0.3">
      <c r="A237" s="2">
        <v>238</v>
      </c>
      <c r="B237" t="s">
        <v>10</v>
      </c>
      <c r="C237" t="s">
        <v>17</v>
      </c>
      <c r="D237" s="4">
        <v>57.730831889999997</v>
      </c>
      <c r="E237" s="4">
        <v>533.18438630000003</v>
      </c>
      <c r="F237" s="4">
        <v>385.86112279999998</v>
      </c>
      <c r="G237" s="4">
        <v>209.126464</v>
      </c>
      <c r="H237" s="4">
        <v>35.454833370000003</v>
      </c>
      <c r="I237" t="s">
        <v>16</v>
      </c>
      <c r="J237" s="1">
        <v>45164</v>
      </c>
      <c r="K237" s="4" t="str">
        <f>TRIM(CLEAN(Table1[[#This Row],[Region]]))</f>
        <v>West</v>
      </c>
    </row>
    <row r="238" spans="1:11" x14ac:dyDescent="0.3">
      <c r="A238" s="2">
        <v>239</v>
      </c>
      <c r="B238" t="s">
        <v>20</v>
      </c>
      <c r="C238" t="s">
        <v>20</v>
      </c>
      <c r="D238" s="4">
        <v>43.966764349999998</v>
      </c>
      <c r="E238" s="4">
        <v>457.62235889999999</v>
      </c>
      <c r="F238" s="4">
        <v>617.35275379999996</v>
      </c>
      <c r="G238" s="4">
        <v>200.5439379</v>
      </c>
      <c r="H238" s="4">
        <v>37.76900251</v>
      </c>
      <c r="I238" t="s">
        <v>18</v>
      </c>
      <c r="J238" s="1">
        <v>45165</v>
      </c>
      <c r="K238" s="4" t="str">
        <f>TRIM(CLEAN(Table1[[#This Row],[Region]]))</f>
        <v>Unknown</v>
      </c>
    </row>
    <row r="239" spans="1:11" x14ac:dyDescent="0.3">
      <c r="A239" s="2">
        <v>240</v>
      </c>
      <c r="B239" t="s">
        <v>13</v>
      </c>
      <c r="C239" t="s">
        <v>15</v>
      </c>
      <c r="D239" s="4">
        <v>34.131882840000003</v>
      </c>
      <c r="E239" s="4">
        <v>338.26370500000002</v>
      </c>
      <c r="F239" s="4">
        <v>505.16559590000003</v>
      </c>
      <c r="G239" s="4">
        <v>228.0533542</v>
      </c>
      <c r="H239" s="4">
        <v>20.024597669999999</v>
      </c>
      <c r="I239" t="s">
        <v>18</v>
      </c>
      <c r="J239" s="1">
        <v>45166</v>
      </c>
      <c r="K239" s="4" t="str">
        <f>TRIM(CLEAN(Table1[[#This Row],[Region]]))</f>
        <v>East</v>
      </c>
    </row>
    <row r="240" spans="1:11" x14ac:dyDescent="0.3">
      <c r="A240" s="2">
        <v>241</v>
      </c>
      <c r="B240" t="s">
        <v>21</v>
      </c>
      <c r="C240" t="s">
        <v>19</v>
      </c>
      <c r="D240" s="4">
        <v>48.657318969999999</v>
      </c>
      <c r="E240" s="4">
        <v>428.33601299999998</v>
      </c>
      <c r="F240" s="4">
        <v>591.36540849999994</v>
      </c>
      <c r="G240" s="4">
        <v>112.9148223</v>
      </c>
      <c r="H240" s="4">
        <v>32.300271709999997</v>
      </c>
      <c r="I240" t="s">
        <v>20</v>
      </c>
      <c r="J240" s="1">
        <v>45167</v>
      </c>
      <c r="K240" s="4" t="str">
        <f>TRIM(CLEAN(Table1[[#This Row],[Region]]))</f>
        <v>South</v>
      </c>
    </row>
    <row r="241" spans="1:11" x14ac:dyDescent="0.3">
      <c r="A241" s="2">
        <v>242</v>
      </c>
      <c r="B241" t="s">
        <v>14</v>
      </c>
      <c r="C241" t="s">
        <v>19</v>
      </c>
      <c r="D241" s="4">
        <v>48.407761219999998</v>
      </c>
      <c r="E241" s="4">
        <v>515.70545809999999</v>
      </c>
      <c r="F241" s="4">
        <v>545.13940219999995</v>
      </c>
      <c r="G241" s="4">
        <v>181.4362644</v>
      </c>
      <c r="H241" s="4">
        <v>31.132526760000001</v>
      </c>
      <c r="I241" t="s">
        <v>16</v>
      </c>
      <c r="J241" s="1">
        <v>45168</v>
      </c>
      <c r="K241" s="4" t="str">
        <f>TRIM(CLEAN(Table1[[#This Row],[Region]]))</f>
        <v>North</v>
      </c>
    </row>
    <row r="242" spans="1:11" x14ac:dyDescent="0.3">
      <c r="A242" s="2">
        <v>243</v>
      </c>
      <c r="B242" t="s">
        <v>10</v>
      </c>
      <c r="C242" t="s">
        <v>19</v>
      </c>
      <c r="D242" s="4">
        <v>36.926476190000002</v>
      </c>
      <c r="E242" s="4">
        <v>516.27444149999997</v>
      </c>
      <c r="F242" s="4">
        <v>656.34990449999998</v>
      </c>
      <c r="G242" s="4">
        <v>117.65680709999999</v>
      </c>
      <c r="H242" s="4">
        <v>26.062623479999999</v>
      </c>
      <c r="I242" t="s">
        <v>18</v>
      </c>
      <c r="J242" s="1">
        <v>45169</v>
      </c>
      <c r="K242" s="4" t="str">
        <f>TRIM(CLEAN(Table1[[#This Row],[Region]]))</f>
        <v>West</v>
      </c>
    </row>
    <row r="243" spans="1:11" x14ac:dyDescent="0.3">
      <c r="A243" s="2">
        <v>244</v>
      </c>
      <c r="B243" t="s">
        <v>14</v>
      </c>
      <c r="C243" t="s">
        <v>15</v>
      </c>
      <c r="D243" s="4">
        <v>55.510373020000003</v>
      </c>
      <c r="E243" s="4">
        <v>504.1379053</v>
      </c>
      <c r="F243" s="4">
        <v>480.48430000000002</v>
      </c>
      <c r="G243" s="4">
        <v>230.22961720000001</v>
      </c>
      <c r="H243" s="4">
        <v>23.028221670000001</v>
      </c>
      <c r="I243" t="s">
        <v>18</v>
      </c>
      <c r="J243" s="1">
        <v>45170</v>
      </c>
      <c r="K243" s="4" t="str">
        <f>TRIM(CLEAN(Table1[[#This Row],[Region]]))</f>
        <v>North</v>
      </c>
    </row>
    <row r="244" spans="1:11" x14ac:dyDescent="0.3">
      <c r="A244" s="2">
        <v>245</v>
      </c>
      <c r="B244" t="s">
        <v>21</v>
      </c>
      <c r="C244" t="s">
        <v>15</v>
      </c>
      <c r="D244" s="4">
        <v>68.466265010000001</v>
      </c>
      <c r="E244" s="4">
        <v>554.87082680000003</v>
      </c>
      <c r="F244" s="4">
        <v>559.61372749999998</v>
      </c>
      <c r="G244" s="4">
        <v>166.20930139999999</v>
      </c>
      <c r="H244" s="4">
        <v>34.958751730000003</v>
      </c>
      <c r="I244" t="s">
        <v>18</v>
      </c>
      <c r="J244" s="1">
        <v>45171</v>
      </c>
      <c r="K244" s="4" t="str">
        <f>TRIM(CLEAN(Table1[[#This Row],[Region]]))</f>
        <v>South</v>
      </c>
    </row>
    <row r="245" spans="1:11" x14ac:dyDescent="0.3">
      <c r="A245" s="2">
        <v>246</v>
      </c>
      <c r="B245" t="s">
        <v>14</v>
      </c>
      <c r="C245" t="s">
        <v>20</v>
      </c>
      <c r="D245" s="4">
        <v>52.222827170000002</v>
      </c>
      <c r="E245" s="4">
        <v>441.88539550000002</v>
      </c>
      <c r="F245" s="4">
        <v>393.09041619999999</v>
      </c>
      <c r="G245" s="4">
        <v>121.4210961</v>
      </c>
      <c r="H245" s="4">
        <v>30.89535266</v>
      </c>
      <c r="I245" t="s">
        <v>18</v>
      </c>
      <c r="J245" s="1">
        <v>45172</v>
      </c>
      <c r="K245" s="4" t="str">
        <f>TRIM(CLEAN(Table1[[#This Row],[Region]]))</f>
        <v>North</v>
      </c>
    </row>
    <row r="246" spans="1:11" x14ac:dyDescent="0.3">
      <c r="A246" s="2">
        <v>247</v>
      </c>
      <c r="B246" t="s">
        <v>12</v>
      </c>
      <c r="C246" t="s">
        <v>11</v>
      </c>
      <c r="D246" s="4">
        <v>51.60476207</v>
      </c>
      <c r="E246" s="4">
        <v>502.66810570000001</v>
      </c>
      <c r="F246" s="4">
        <v>550.35995709999997</v>
      </c>
      <c r="G246" s="4">
        <v>160.31067379999999</v>
      </c>
      <c r="H246" s="4">
        <v>31.272132289999998</v>
      </c>
      <c r="I246" t="s">
        <v>16</v>
      </c>
      <c r="J246" s="1">
        <v>45173</v>
      </c>
      <c r="K246" s="4" t="str">
        <f>TRIM(CLEAN(Table1[[#This Row],[Region]]))</f>
        <v>South</v>
      </c>
    </row>
    <row r="247" spans="1:11" x14ac:dyDescent="0.3">
      <c r="A247" s="2">
        <v>248</v>
      </c>
      <c r="B247" t="s">
        <v>10</v>
      </c>
      <c r="C247" t="s">
        <v>20</v>
      </c>
      <c r="D247" s="4">
        <v>40.627719509999999</v>
      </c>
      <c r="E247" s="4">
        <v>557.2092778</v>
      </c>
      <c r="F247" s="4">
        <v>432.46486820000001</v>
      </c>
      <c r="G247" s="4">
        <v>207.46781010000001</v>
      </c>
      <c r="H247" s="4">
        <v>26.891153240000001</v>
      </c>
      <c r="I247" t="s">
        <v>16</v>
      </c>
      <c r="J247" s="1">
        <v>45174</v>
      </c>
      <c r="K247" s="4" t="str">
        <f>TRIM(CLEAN(Table1[[#This Row],[Region]]))</f>
        <v>West</v>
      </c>
    </row>
    <row r="248" spans="1:11" x14ac:dyDescent="0.3">
      <c r="A248" s="2">
        <v>249</v>
      </c>
      <c r="B248" t="s">
        <v>10</v>
      </c>
      <c r="C248" t="s">
        <v>17</v>
      </c>
      <c r="D248" s="4">
        <v>63.974147029999997</v>
      </c>
      <c r="E248" s="4">
        <v>491.5110181</v>
      </c>
      <c r="F248" s="4">
        <v>425.62729580000001</v>
      </c>
      <c r="G248" s="4">
        <v>189.73858089999999</v>
      </c>
      <c r="H248" s="4">
        <v>25.990453980000002</v>
      </c>
      <c r="I248" t="s">
        <v>18</v>
      </c>
      <c r="J248" s="1">
        <v>45175</v>
      </c>
      <c r="K248" s="4" t="str">
        <f>TRIM(CLEAN(Table1[[#This Row],[Region]]))</f>
        <v>West</v>
      </c>
    </row>
    <row r="249" spans="1:11" x14ac:dyDescent="0.3">
      <c r="A249" s="2">
        <v>250</v>
      </c>
      <c r="B249" t="s">
        <v>21</v>
      </c>
      <c r="C249" t="s">
        <v>19</v>
      </c>
      <c r="D249" s="4">
        <v>49.248558330000002</v>
      </c>
      <c r="E249" s="4">
        <v>375.66760720000002</v>
      </c>
      <c r="F249" s="4">
        <v>587.36682180000003</v>
      </c>
      <c r="G249" s="4">
        <v>141.34217200000001</v>
      </c>
      <c r="H249" s="4">
        <v>17.725132290000001</v>
      </c>
      <c r="I249" t="s">
        <v>18</v>
      </c>
      <c r="J249" s="1">
        <v>45176</v>
      </c>
      <c r="K249" s="4" t="str">
        <f>TRIM(CLEAN(Table1[[#This Row],[Region]]))</f>
        <v>South</v>
      </c>
    </row>
    <row r="250" spans="1:11" x14ac:dyDescent="0.3">
      <c r="A250" s="2">
        <v>251</v>
      </c>
      <c r="B250" t="s">
        <v>20</v>
      </c>
      <c r="C250" t="s">
        <v>19</v>
      </c>
      <c r="D250" s="4">
        <v>44.21036745</v>
      </c>
      <c r="E250" s="4">
        <v>403.85116299999999</v>
      </c>
      <c r="F250" s="4">
        <v>588.19480510000005</v>
      </c>
      <c r="G250" s="4">
        <v>114.7565699</v>
      </c>
      <c r="H250" s="4">
        <v>28.859859849999999</v>
      </c>
      <c r="I250" t="s">
        <v>16</v>
      </c>
      <c r="J250" s="1">
        <v>45177</v>
      </c>
      <c r="K250" s="4" t="str">
        <f>TRIM(CLEAN(Table1[[#This Row],[Region]]))</f>
        <v>Unknown</v>
      </c>
    </row>
    <row r="251" spans="1:11" x14ac:dyDescent="0.3">
      <c r="A251" s="2">
        <v>252</v>
      </c>
      <c r="B251" t="s">
        <v>12</v>
      </c>
      <c r="C251" t="s">
        <v>11</v>
      </c>
      <c r="D251" s="4">
        <v>50.636883939999997</v>
      </c>
      <c r="E251" s="4">
        <v>583.0852324</v>
      </c>
      <c r="F251" s="4">
        <v>682.61305870000001</v>
      </c>
      <c r="G251" s="4">
        <v>203.69663940000001</v>
      </c>
      <c r="H251" s="4">
        <v>37.194131900000002</v>
      </c>
      <c r="I251" t="s">
        <v>16</v>
      </c>
      <c r="J251" s="1">
        <v>45178</v>
      </c>
      <c r="K251" s="4" t="str">
        <f>TRIM(CLEAN(Table1[[#This Row],[Region]]))</f>
        <v>South</v>
      </c>
    </row>
    <row r="252" spans="1:11" x14ac:dyDescent="0.3">
      <c r="A252" s="2">
        <v>253</v>
      </c>
      <c r="B252" t="s">
        <v>13</v>
      </c>
      <c r="C252" t="s">
        <v>19</v>
      </c>
      <c r="D252" s="4">
        <v>54.719613330000001</v>
      </c>
      <c r="E252" s="4">
        <v>639.24721629999999</v>
      </c>
      <c r="F252" s="4">
        <v>674.79158229999996</v>
      </c>
      <c r="G252" s="4">
        <v>170.96159470000001</v>
      </c>
      <c r="H252" s="4">
        <v>25.548727899999999</v>
      </c>
      <c r="I252" t="s">
        <v>20</v>
      </c>
      <c r="J252" s="1">
        <v>45179</v>
      </c>
      <c r="K252" s="4" t="str">
        <f>TRIM(CLEAN(Table1[[#This Row],[Region]]))</f>
        <v>East</v>
      </c>
    </row>
    <row r="253" spans="1:11" x14ac:dyDescent="0.3">
      <c r="A253" s="2">
        <v>254</v>
      </c>
      <c r="B253" t="s">
        <v>14</v>
      </c>
      <c r="C253" t="s">
        <v>11</v>
      </c>
      <c r="D253" s="4">
        <v>51.392154089999998</v>
      </c>
      <c r="E253" s="4">
        <v>617.52831079999999</v>
      </c>
      <c r="F253" s="4">
        <v>590.07781939999995</v>
      </c>
      <c r="G253" s="4">
        <v>187.09596450000001</v>
      </c>
      <c r="H253" s="4">
        <v>22.387926530000001</v>
      </c>
      <c r="I253" t="s">
        <v>20</v>
      </c>
      <c r="J253" s="1">
        <v>45180</v>
      </c>
      <c r="K253" s="4" t="str">
        <f>TRIM(CLEAN(Table1[[#This Row],[Region]]))</f>
        <v>North</v>
      </c>
    </row>
    <row r="254" spans="1:11" x14ac:dyDescent="0.3">
      <c r="A254" s="2">
        <v>255</v>
      </c>
      <c r="B254" t="s">
        <v>14</v>
      </c>
      <c r="C254" t="s">
        <v>20</v>
      </c>
      <c r="D254" s="4">
        <v>62.061533959999998</v>
      </c>
      <c r="E254" s="4">
        <v>523.21559500000001</v>
      </c>
      <c r="F254" s="4">
        <v>273.54652679999998</v>
      </c>
      <c r="G254" s="4">
        <v>192.01574059999999</v>
      </c>
      <c r="H254" s="4">
        <v>32.178322829999999</v>
      </c>
      <c r="I254" t="s">
        <v>16</v>
      </c>
      <c r="J254" s="1">
        <v>45181</v>
      </c>
      <c r="K254" s="4" t="str">
        <f>TRIM(CLEAN(Table1[[#This Row],[Region]]))</f>
        <v>North</v>
      </c>
    </row>
    <row r="255" spans="1:11" x14ac:dyDescent="0.3">
      <c r="A255" s="2">
        <v>256</v>
      </c>
      <c r="B255" t="s">
        <v>14</v>
      </c>
      <c r="C255" t="s">
        <v>15</v>
      </c>
      <c r="D255" s="4">
        <v>53.839715529999999</v>
      </c>
      <c r="E255" s="4">
        <v>379.6867398</v>
      </c>
      <c r="F255" s="4">
        <v>699.32171800000003</v>
      </c>
      <c r="G255" s="4">
        <v>221.50328440000001</v>
      </c>
      <c r="H255" s="4">
        <v>33.10039999</v>
      </c>
      <c r="I255" t="s">
        <v>18</v>
      </c>
      <c r="J255" s="1">
        <v>45182</v>
      </c>
      <c r="K255" s="4" t="str">
        <f>TRIM(CLEAN(Table1[[#This Row],[Region]]))</f>
        <v>North</v>
      </c>
    </row>
    <row r="256" spans="1:11" x14ac:dyDescent="0.3">
      <c r="A256" s="2">
        <v>257</v>
      </c>
      <c r="B256" t="s">
        <v>20</v>
      </c>
      <c r="C256" t="s">
        <v>19</v>
      </c>
      <c r="D256" s="4">
        <v>47.160581890000003</v>
      </c>
      <c r="E256" s="4">
        <v>499.36484430000002</v>
      </c>
      <c r="F256" s="4">
        <v>590.15612050000004</v>
      </c>
      <c r="G256" s="4">
        <v>242.34732510000001</v>
      </c>
      <c r="H256" s="4">
        <v>27.070470199999999</v>
      </c>
      <c r="I256" t="s">
        <v>18</v>
      </c>
      <c r="J256" s="1">
        <v>45183</v>
      </c>
      <c r="K256" s="4" t="str">
        <f>TRIM(CLEAN(Table1[[#This Row],[Region]]))</f>
        <v>Unknown</v>
      </c>
    </row>
    <row r="257" spans="1:11" x14ac:dyDescent="0.3">
      <c r="A257" s="2">
        <v>258</v>
      </c>
      <c r="B257" t="s">
        <v>13</v>
      </c>
      <c r="C257" t="s">
        <v>20</v>
      </c>
      <c r="D257" s="4">
        <v>54.011922159999997</v>
      </c>
      <c r="E257" s="4">
        <v>656.22551320000002</v>
      </c>
      <c r="F257" s="4">
        <v>388.09678919999999</v>
      </c>
      <c r="G257" s="4">
        <v>207.32545999999999</v>
      </c>
      <c r="H257" s="4">
        <v>28.25617768</v>
      </c>
      <c r="I257" t="s">
        <v>16</v>
      </c>
      <c r="J257" s="1">
        <v>45184</v>
      </c>
      <c r="K257" s="4" t="str">
        <f>TRIM(CLEAN(Table1[[#This Row],[Region]]))</f>
        <v>East</v>
      </c>
    </row>
    <row r="258" spans="1:11" x14ac:dyDescent="0.3">
      <c r="A258" s="2">
        <v>259</v>
      </c>
      <c r="B258" t="s">
        <v>14</v>
      </c>
      <c r="C258" t="s">
        <v>19</v>
      </c>
      <c r="D258" s="4">
        <v>54.996371009999997</v>
      </c>
      <c r="E258" s="4">
        <v>561.848838</v>
      </c>
      <c r="F258" s="4">
        <v>567.46909870000002</v>
      </c>
      <c r="G258" s="4">
        <v>183.97687250000001</v>
      </c>
      <c r="H258" s="4">
        <v>31.319515590000002</v>
      </c>
      <c r="I258" t="s">
        <v>16</v>
      </c>
      <c r="J258" s="1">
        <v>45185</v>
      </c>
      <c r="K258" s="4" t="str">
        <f>TRIM(CLEAN(Table1[[#This Row],[Region]]))</f>
        <v>North</v>
      </c>
    </row>
    <row r="259" spans="1:11" x14ac:dyDescent="0.3">
      <c r="A259" s="2">
        <v>260</v>
      </c>
      <c r="B259" t="s">
        <v>12</v>
      </c>
      <c r="C259" t="s">
        <v>19</v>
      </c>
      <c r="D259" s="4">
        <v>37.036240810000002</v>
      </c>
      <c r="E259" s="4">
        <v>479.2522477</v>
      </c>
      <c r="F259" s="4">
        <v>355.52811109999999</v>
      </c>
      <c r="G259" s="4">
        <v>201.23817690000001</v>
      </c>
      <c r="H259" s="4">
        <v>29.222252659999999</v>
      </c>
      <c r="I259" t="s">
        <v>20</v>
      </c>
      <c r="J259" s="1">
        <v>45186</v>
      </c>
      <c r="K259" s="4" t="str">
        <f>TRIM(CLEAN(Table1[[#This Row],[Region]]))</f>
        <v>South</v>
      </c>
    </row>
    <row r="260" spans="1:11" x14ac:dyDescent="0.3">
      <c r="A260" s="2">
        <v>261</v>
      </c>
      <c r="B260" t="s">
        <v>12</v>
      </c>
      <c r="C260" t="s">
        <v>19</v>
      </c>
      <c r="D260" s="4">
        <v>61.494197280000002</v>
      </c>
      <c r="E260" s="4">
        <v>562.86252330000002</v>
      </c>
      <c r="F260" s="4">
        <v>554.23561440000003</v>
      </c>
      <c r="G260" s="4">
        <v>183.03815159999999</v>
      </c>
      <c r="H260" s="4">
        <v>35.000646680000003</v>
      </c>
      <c r="I260" t="s">
        <v>16</v>
      </c>
      <c r="J260" s="1">
        <v>45187</v>
      </c>
      <c r="K260" s="4" t="str">
        <f>TRIM(CLEAN(Table1[[#This Row],[Region]]))</f>
        <v>South</v>
      </c>
    </row>
    <row r="261" spans="1:11" x14ac:dyDescent="0.3">
      <c r="A261" s="2">
        <v>262</v>
      </c>
      <c r="B261" t="s">
        <v>10</v>
      </c>
      <c r="C261" t="s">
        <v>19</v>
      </c>
      <c r="D261" s="4">
        <v>46.99095981</v>
      </c>
      <c r="E261" s="4">
        <v>373.0604793</v>
      </c>
      <c r="F261" s="4">
        <v>322.04759510000002</v>
      </c>
      <c r="G261" s="4">
        <v>117.8723323</v>
      </c>
      <c r="H261" s="4">
        <v>42.186212879999999</v>
      </c>
      <c r="I261" t="s">
        <v>18</v>
      </c>
      <c r="J261" s="1">
        <v>45188</v>
      </c>
      <c r="K261" s="4" t="str">
        <f>TRIM(CLEAN(Table1[[#This Row],[Region]]))</f>
        <v>West</v>
      </c>
    </row>
    <row r="262" spans="1:11" x14ac:dyDescent="0.3">
      <c r="A262" s="2">
        <v>263</v>
      </c>
      <c r="B262" t="s">
        <v>21</v>
      </c>
      <c r="C262" t="s">
        <v>19</v>
      </c>
      <c r="D262" s="4">
        <v>47.246767759999997</v>
      </c>
      <c r="E262" s="4">
        <v>430.43286219999999</v>
      </c>
      <c r="F262" s="4">
        <v>383.0137909</v>
      </c>
      <c r="G262" s="4">
        <v>254.59730859999999</v>
      </c>
      <c r="H262" s="4">
        <v>21.45418222</v>
      </c>
      <c r="I262" t="s">
        <v>16</v>
      </c>
      <c r="J262" s="1">
        <v>45189</v>
      </c>
      <c r="K262" s="4" t="str">
        <f>TRIM(CLEAN(Table1[[#This Row],[Region]]))</f>
        <v>South</v>
      </c>
    </row>
    <row r="263" spans="1:11" x14ac:dyDescent="0.3">
      <c r="A263" s="2">
        <v>264</v>
      </c>
      <c r="B263" t="s">
        <v>20</v>
      </c>
      <c r="C263" t="s">
        <v>11</v>
      </c>
      <c r="D263" s="4">
        <v>57.513759870000001</v>
      </c>
      <c r="E263" s="4">
        <v>391.5808609</v>
      </c>
      <c r="F263" s="4">
        <v>565.19149549999997</v>
      </c>
      <c r="G263" s="4">
        <v>245.17194309999999</v>
      </c>
      <c r="H263" s="4">
        <v>36.148775649999997</v>
      </c>
      <c r="I263" t="s">
        <v>18</v>
      </c>
      <c r="J263" s="1">
        <v>45190</v>
      </c>
      <c r="K263" s="4" t="str">
        <f>TRIM(CLEAN(Table1[[#This Row],[Region]]))</f>
        <v>Unknown</v>
      </c>
    </row>
    <row r="264" spans="1:11" x14ac:dyDescent="0.3">
      <c r="A264" s="2">
        <v>265</v>
      </c>
      <c r="B264" t="s">
        <v>14</v>
      </c>
      <c r="C264" t="s">
        <v>20</v>
      </c>
      <c r="D264" s="4">
        <v>57.471652239999997</v>
      </c>
      <c r="E264" s="4">
        <v>546.95718179999994</v>
      </c>
      <c r="F264" s="4">
        <v>608.74640920000002</v>
      </c>
      <c r="G264" s="4">
        <v>299.41669969999998</v>
      </c>
      <c r="H264" s="4">
        <v>30.52629851</v>
      </c>
      <c r="I264" t="s">
        <v>16</v>
      </c>
      <c r="J264" s="1">
        <v>45191</v>
      </c>
      <c r="K264" s="4" t="str">
        <f>TRIM(CLEAN(Table1[[#This Row],[Region]]))</f>
        <v>North</v>
      </c>
    </row>
    <row r="265" spans="1:11" x14ac:dyDescent="0.3">
      <c r="A265" s="2">
        <v>266</v>
      </c>
      <c r="B265" t="s">
        <v>14</v>
      </c>
      <c r="C265" t="s">
        <v>19</v>
      </c>
      <c r="D265" s="4">
        <v>42.991683209999998</v>
      </c>
      <c r="E265" s="4">
        <v>571.41034999999999</v>
      </c>
      <c r="F265" s="4">
        <v>519.05242310000006</v>
      </c>
      <c r="G265" s="4">
        <v>314.02496530000002</v>
      </c>
      <c r="H265" s="4">
        <v>36.94100469</v>
      </c>
      <c r="I265" t="s">
        <v>18</v>
      </c>
      <c r="J265" s="1">
        <v>45192</v>
      </c>
      <c r="K265" s="4" t="str">
        <f>TRIM(CLEAN(Table1[[#This Row],[Region]]))</f>
        <v>North</v>
      </c>
    </row>
    <row r="266" spans="1:11" x14ac:dyDescent="0.3">
      <c r="A266" s="2">
        <v>267</v>
      </c>
      <c r="B266" t="s">
        <v>14</v>
      </c>
      <c r="C266" t="s">
        <v>15</v>
      </c>
      <c r="D266" s="4">
        <v>58.029016179999999</v>
      </c>
      <c r="E266" s="4">
        <v>484.61739729999999</v>
      </c>
      <c r="F266" s="4">
        <v>445.65976360000002</v>
      </c>
      <c r="G266" s="4">
        <v>141.19899340000001</v>
      </c>
      <c r="H266" s="4">
        <v>33.621772559999997</v>
      </c>
      <c r="I266" t="s">
        <v>16</v>
      </c>
      <c r="J266" s="1">
        <v>45193</v>
      </c>
      <c r="K266" s="4" t="str">
        <f>TRIM(CLEAN(Table1[[#This Row],[Region]]))</f>
        <v>North</v>
      </c>
    </row>
    <row r="267" spans="1:11" x14ac:dyDescent="0.3">
      <c r="A267" s="2">
        <v>268</v>
      </c>
      <c r="B267" t="s">
        <v>13</v>
      </c>
      <c r="C267" t="s">
        <v>15</v>
      </c>
      <c r="D267" s="4">
        <v>221.97759239999999</v>
      </c>
      <c r="E267" s="4">
        <v>1650.828129</v>
      </c>
      <c r="F267" s="4">
        <v>226.2160446</v>
      </c>
      <c r="G267" s="4">
        <v>183.23000400000001</v>
      </c>
      <c r="H267" s="4">
        <v>30.305782300000001</v>
      </c>
      <c r="I267" t="s">
        <v>16</v>
      </c>
      <c r="J267" s="1">
        <v>45194</v>
      </c>
      <c r="K267" s="4" t="str">
        <f>TRIM(CLEAN(Table1[[#This Row],[Region]]))</f>
        <v>East</v>
      </c>
    </row>
    <row r="268" spans="1:11" x14ac:dyDescent="0.3">
      <c r="A268" s="2">
        <v>269</v>
      </c>
      <c r="B268" t="s">
        <v>21</v>
      </c>
      <c r="C268" t="s">
        <v>20</v>
      </c>
      <c r="D268" s="4">
        <v>68.195730470000001</v>
      </c>
      <c r="E268" s="4">
        <v>498.0250906</v>
      </c>
      <c r="F268" s="4">
        <v>454.91746799999999</v>
      </c>
      <c r="G268" s="4">
        <v>325.5769798</v>
      </c>
      <c r="H268" s="4">
        <v>33.800114710000003</v>
      </c>
      <c r="I268" t="s">
        <v>20</v>
      </c>
      <c r="J268" s="1">
        <v>45195</v>
      </c>
      <c r="K268" s="4" t="str">
        <f>TRIM(CLEAN(Table1[[#This Row],[Region]]))</f>
        <v>South</v>
      </c>
    </row>
    <row r="269" spans="1:11" x14ac:dyDescent="0.3">
      <c r="A269" s="2">
        <v>270</v>
      </c>
      <c r="B269" t="s">
        <v>12</v>
      </c>
      <c r="C269" t="s">
        <v>20</v>
      </c>
      <c r="D269" s="4">
        <v>41.718060190000003</v>
      </c>
      <c r="E269" s="4">
        <v>451.34201089999999</v>
      </c>
      <c r="F269" s="4">
        <v>544.0182092</v>
      </c>
      <c r="G269" s="4">
        <v>197.97246920000001</v>
      </c>
      <c r="H269" s="4">
        <v>28.029221140000001</v>
      </c>
      <c r="I269" t="s">
        <v>16</v>
      </c>
      <c r="J269" s="1">
        <v>45196</v>
      </c>
      <c r="K269" s="4" t="str">
        <f>TRIM(CLEAN(Table1[[#This Row],[Region]]))</f>
        <v>South</v>
      </c>
    </row>
    <row r="270" spans="1:11" x14ac:dyDescent="0.3">
      <c r="A270" s="2">
        <v>271</v>
      </c>
      <c r="B270" t="s">
        <v>14</v>
      </c>
      <c r="C270" t="s">
        <v>15</v>
      </c>
      <c r="D270" s="4">
        <v>52.39477462</v>
      </c>
      <c r="E270" s="4">
        <v>420.38292949999999</v>
      </c>
      <c r="F270" s="4">
        <v>441.98818729999999</v>
      </c>
      <c r="G270" s="4">
        <v>212.21054509999999</v>
      </c>
      <c r="H270" s="4">
        <v>26.12849289</v>
      </c>
      <c r="I270" t="s">
        <v>16</v>
      </c>
      <c r="J270" s="1">
        <v>45197</v>
      </c>
      <c r="K270" s="4" t="str">
        <f>TRIM(CLEAN(Table1[[#This Row],[Region]]))</f>
        <v>North</v>
      </c>
    </row>
    <row r="271" spans="1:11" x14ac:dyDescent="0.3">
      <c r="A271" s="2">
        <v>272</v>
      </c>
      <c r="B271" t="s">
        <v>10</v>
      </c>
      <c r="C271" t="s">
        <v>15</v>
      </c>
      <c r="D271" s="4">
        <v>42.179823630000001</v>
      </c>
      <c r="E271" s="4">
        <v>533.89936850000004</v>
      </c>
      <c r="F271" s="4">
        <v>477.2906471</v>
      </c>
      <c r="G271" s="4">
        <v>123.9435024</v>
      </c>
      <c r="H271" s="4">
        <v>34.054315580000001</v>
      </c>
      <c r="I271" t="s">
        <v>18</v>
      </c>
      <c r="J271" s="1">
        <v>45198</v>
      </c>
      <c r="K271" s="4" t="str">
        <f>TRIM(CLEAN(Table1[[#This Row],[Region]]))</f>
        <v>West</v>
      </c>
    </row>
    <row r="272" spans="1:11" x14ac:dyDescent="0.3">
      <c r="A272" s="2">
        <v>273</v>
      </c>
      <c r="B272" t="s">
        <v>12</v>
      </c>
      <c r="C272" t="s">
        <v>11</v>
      </c>
      <c r="D272" s="4">
        <v>72.226956290000004</v>
      </c>
      <c r="E272" s="4">
        <v>424.2007777</v>
      </c>
      <c r="F272" s="4">
        <v>457.72590380000003</v>
      </c>
      <c r="G272" s="4">
        <v>207.51443159999999</v>
      </c>
      <c r="H272" s="4">
        <v>25.778357759999999</v>
      </c>
      <c r="I272" t="s">
        <v>16</v>
      </c>
      <c r="J272" s="1">
        <v>45199</v>
      </c>
      <c r="K272" s="4" t="str">
        <f>TRIM(CLEAN(Table1[[#This Row],[Region]]))</f>
        <v>South</v>
      </c>
    </row>
    <row r="273" spans="1:11" x14ac:dyDescent="0.3">
      <c r="A273" s="2">
        <v>274</v>
      </c>
      <c r="B273" t="s">
        <v>21</v>
      </c>
      <c r="C273" t="s">
        <v>17</v>
      </c>
      <c r="D273" s="4">
        <v>37.621790560000001</v>
      </c>
      <c r="E273" s="4">
        <v>343.36502669999999</v>
      </c>
      <c r="F273" s="4">
        <v>441.3952539</v>
      </c>
      <c r="G273" s="4">
        <v>296.59701869999998</v>
      </c>
      <c r="H273" s="4">
        <v>33.211862959999998</v>
      </c>
      <c r="I273" t="s">
        <v>18</v>
      </c>
      <c r="J273" s="1">
        <v>45200</v>
      </c>
      <c r="K273" s="4" t="str">
        <f>TRIM(CLEAN(Table1[[#This Row],[Region]]))</f>
        <v>South</v>
      </c>
    </row>
    <row r="274" spans="1:11" x14ac:dyDescent="0.3">
      <c r="A274" s="2">
        <v>275</v>
      </c>
      <c r="B274" t="s">
        <v>20</v>
      </c>
      <c r="C274" t="s">
        <v>19</v>
      </c>
      <c r="D274" s="4">
        <v>55.24362747</v>
      </c>
      <c r="E274" s="4">
        <v>365.58855299999999</v>
      </c>
      <c r="F274" s="4">
        <v>489.10528679999999</v>
      </c>
      <c r="G274" s="4">
        <v>264.33129050000002</v>
      </c>
      <c r="H274" s="4">
        <v>30.153737920000001</v>
      </c>
      <c r="I274" t="s">
        <v>16</v>
      </c>
      <c r="J274" s="1">
        <v>45201</v>
      </c>
      <c r="K274" s="4" t="str">
        <f>TRIM(CLEAN(Table1[[#This Row],[Region]]))</f>
        <v>Unknown</v>
      </c>
    </row>
    <row r="275" spans="1:11" x14ac:dyDescent="0.3">
      <c r="A275" s="2">
        <v>276</v>
      </c>
      <c r="B275" t="s">
        <v>10</v>
      </c>
      <c r="C275" t="s">
        <v>19</v>
      </c>
      <c r="D275" s="4">
        <v>42.650895859999999</v>
      </c>
      <c r="E275" s="4">
        <v>339.67395329999999</v>
      </c>
      <c r="F275" s="4">
        <v>447.27665009999998</v>
      </c>
      <c r="G275" s="4">
        <v>169.5007689</v>
      </c>
      <c r="H275" s="4">
        <v>18.352791740000001</v>
      </c>
      <c r="I275" t="s">
        <v>18</v>
      </c>
      <c r="J275" s="1">
        <v>45202</v>
      </c>
      <c r="K275" s="4" t="str">
        <f>TRIM(CLEAN(Table1[[#This Row],[Region]]))</f>
        <v>West</v>
      </c>
    </row>
    <row r="276" spans="1:11" x14ac:dyDescent="0.3">
      <c r="A276" s="2">
        <v>277</v>
      </c>
      <c r="B276" t="s">
        <v>20</v>
      </c>
      <c r="C276" t="s">
        <v>17</v>
      </c>
      <c r="D276" s="4">
        <v>46.458923589999998</v>
      </c>
      <c r="E276" s="4">
        <v>524.75119170000005</v>
      </c>
      <c r="F276" s="4">
        <v>653.19474639999999</v>
      </c>
      <c r="G276" s="4">
        <v>180.18418170000001</v>
      </c>
      <c r="H276" s="4">
        <v>27.128087749999999</v>
      </c>
      <c r="I276" t="s">
        <v>16</v>
      </c>
      <c r="J276" s="1">
        <v>45203</v>
      </c>
      <c r="K276" s="4" t="str">
        <f>TRIM(CLEAN(Table1[[#This Row],[Region]]))</f>
        <v>Unknown</v>
      </c>
    </row>
    <row r="277" spans="1:11" x14ac:dyDescent="0.3">
      <c r="A277" s="2">
        <v>278</v>
      </c>
      <c r="B277" t="s">
        <v>13</v>
      </c>
      <c r="C277" t="s">
        <v>20</v>
      </c>
      <c r="D277" s="4">
        <v>54.535378340000001</v>
      </c>
      <c r="E277" s="4">
        <v>515.04054380000002</v>
      </c>
      <c r="F277" s="4">
        <v>215.22973820000001</v>
      </c>
      <c r="G277" s="4">
        <v>143.4549854</v>
      </c>
      <c r="H277" s="4">
        <v>31.674190979999999</v>
      </c>
      <c r="I277" t="s">
        <v>18</v>
      </c>
      <c r="J277" s="1">
        <v>45204</v>
      </c>
      <c r="K277" s="4" t="str">
        <f>TRIM(CLEAN(Table1[[#This Row],[Region]]))</f>
        <v>East</v>
      </c>
    </row>
    <row r="278" spans="1:11" x14ac:dyDescent="0.3">
      <c r="A278" s="2">
        <v>279</v>
      </c>
      <c r="B278" t="s">
        <v>13</v>
      </c>
      <c r="C278" t="s">
        <v>15</v>
      </c>
      <c r="D278" s="4">
        <v>62.245844380000001</v>
      </c>
      <c r="E278" s="4">
        <v>510.0520095</v>
      </c>
      <c r="F278" s="4">
        <v>414.49888970000001</v>
      </c>
      <c r="G278" s="4">
        <v>157.44184300000001</v>
      </c>
      <c r="H278" s="4">
        <v>27.969996680000001</v>
      </c>
      <c r="I278" t="s">
        <v>20</v>
      </c>
      <c r="J278" s="1">
        <v>45205</v>
      </c>
      <c r="K278" s="4" t="str">
        <f>TRIM(CLEAN(Table1[[#This Row],[Region]]))</f>
        <v>East</v>
      </c>
    </row>
    <row r="279" spans="1:11" x14ac:dyDescent="0.3">
      <c r="A279" s="2">
        <v>280</v>
      </c>
      <c r="B279" t="s">
        <v>14</v>
      </c>
      <c r="C279" t="s">
        <v>17</v>
      </c>
      <c r="D279" s="4">
        <v>66.233965620000006</v>
      </c>
      <c r="E279" s="4">
        <v>558.77316519999999</v>
      </c>
      <c r="F279" s="4">
        <v>375.56925319999999</v>
      </c>
      <c r="G279" s="4">
        <v>104.4894036</v>
      </c>
      <c r="H279" s="4">
        <v>17.266339439999999</v>
      </c>
      <c r="I279" t="s">
        <v>18</v>
      </c>
      <c r="J279" s="1">
        <v>45206</v>
      </c>
      <c r="K279" s="4" t="str">
        <f>TRIM(CLEAN(Table1[[#This Row],[Region]]))</f>
        <v>North</v>
      </c>
    </row>
    <row r="280" spans="1:11" x14ac:dyDescent="0.3">
      <c r="A280" s="2">
        <v>281</v>
      </c>
      <c r="B280" t="s">
        <v>20</v>
      </c>
      <c r="C280" t="s">
        <v>19</v>
      </c>
      <c r="D280" s="4">
        <v>34.630520400000002</v>
      </c>
      <c r="E280" s="4">
        <v>619.1958856</v>
      </c>
      <c r="F280" s="4">
        <v>506.293272</v>
      </c>
      <c r="G280" s="4">
        <v>195.75901630000001</v>
      </c>
      <c r="H280" s="4">
        <v>36.603750640000001</v>
      </c>
      <c r="I280" t="s">
        <v>16</v>
      </c>
      <c r="J280" s="1">
        <v>45207</v>
      </c>
      <c r="K280" s="4" t="str">
        <f>TRIM(CLEAN(Table1[[#This Row],[Region]]))</f>
        <v>Unknown</v>
      </c>
    </row>
    <row r="281" spans="1:11" x14ac:dyDescent="0.3">
      <c r="A281" s="2">
        <v>282</v>
      </c>
      <c r="B281" t="s">
        <v>21</v>
      </c>
      <c r="C281" t="s">
        <v>20</v>
      </c>
      <c r="D281" s="4">
        <v>52.677512239999999</v>
      </c>
      <c r="E281" s="4">
        <v>440.77334689999998</v>
      </c>
      <c r="F281" s="4">
        <v>489.25737429999998</v>
      </c>
      <c r="G281" s="4">
        <v>275.50553400000001</v>
      </c>
      <c r="H281" s="4">
        <v>30.846875260000001</v>
      </c>
      <c r="I281" t="s">
        <v>20</v>
      </c>
      <c r="J281" s="1">
        <v>45208</v>
      </c>
      <c r="K281" s="4" t="str">
        <f>TRIM(CLEAN(Table1[[#This Row],[Region]]))</f>
        <v>South</v>
      </c>
    </row>
    <row r="282" spans="1:11" x14ac:dyDescent="0.3">
      <c r="A282" s="2">
        <v>283</v>
      </c>
      <c r="B282" t="s">
        <v>14</v>
      </c>
      <c r="C282" t="s">
        <v>19</v>
      </c>
      <c r="D282" s="4">
        <v>64.59493603</v>
      </c>
      <c r="E282" s="4">
        <v>540.64774769999997</v>
      </c>
      <c r="F282" s="4">
        <v>674.66317219999996</v>
      </c>
      <c r="G282" s="4">
        <v>217.7715962</v>
      </c>
      <c r="H282" s="4">
        <v>32.218696459999997</v>
      </c>
      <c r="I282" t="s">
        <v>18</v>
      </c>
      <c r="J282" s="1">
        <v>45209</v>
      </c>
      <c r="K282" s="4" t="str">
        <f>TRIM(CLEAN(Table1[[#This Row],[Region]]))</f>
        <v>North</v>
      </c>
    </row>
    <row r="283" spans="1:11" x14ac:dyDescent="0.3">
      <c r="A283" s="2">
        <v>284</v>
      </c>
      <c r="B283" t="s">
        <v>10</v>
      </c>
      <c r="C283" t="s">
        <v>19</v>
      </c>
      <c r="D283" s="4">
        <v>33.14689061</v>
      </c>
      <c r="E283" s="4">
        <v>342.03844930000002</v>
      </c>
      <c r="F283" s="4">
        <v>714.13704580000001</v>
      </c>
      <c r="G283" s="4">
        <v>268.31194950000003</v>
      </c>
      <c r="H283" s="4">
        <v>27.633619240000002</v>
      </c>
      <c r="I283" t="s">
        <v>20</v>
      </c>
      <c r="J283" s="1">
        <v>45210</v>
      </c>
      <c r="K283" s="4" t="str">
        <f>TRIM(CLEAN(Table1[[#This Row],[Region]]))</f>
        <v>West</v>
      </c>
    </row>
    <row r="284" spans="1:11" x14ac:dyDescent="0.3">
      <c r="A284" s="2">
        <v>285</v>
      </c>
      <c r="B284" t="s">
        <v>12</v>
      </c>
      <c r="C284" t="s">
        <v>19</v>
      </c>
      <c r="D284" s="4">
        <v>53.143834939999998</v>
      </c>
      <c r="E284" s="4">
        <v>637.87097459999995</v>
      </c>
      <c r="F284" s="4">
        <v>387.22998530000001</v>
      </c>
      <c r="G284" s="4">
        <v>253.66247000000001</v>
      </c>
      <c r="H284" s="4">
        <v>32.657448440000003</v>
      </c>
      <c r="I284" t="s">
        <v>16</v>
      </c>
      <c r="J284" s="1">
        <v>45211</v>
      </c>
      <c r="K284" s="4" t="str">
        <f>TRIM(CLEAN(Table1[[#This Row],[Region]]))</f>
        <v>South</v>
      </c>
    </row>
    <row r="285" spans="1:11" x14ac:dyDescent="0.3">
      <c r="A285" s="2">
        <v>286</v>
      </c>
      <c r="B285" t="s">
        <v>21</v>
      </c>
      <c r="C285" t="s">
        <v>19</v>
      </c>
      <c r="D285" s="4">
        <v>49.979162029999998</v>
      </c>
      <c r="E285" s="4">
        <v>375.51687620000001</v>
      </c>
      <c r="F285" s="4">
        <v>480.06000779999999</v>
      </c>
      <c r="G285" s="4">
        <v>172.65959549999999</v>
      </c>
      <c r="H285" s="4">
        <v>39.174100719999998</v>
      </c>
      <c r="I285" t="s">
        <v>16</v>
      </c>
      <c r="J285" s="1">
        <v>45212</v>
      </c>
      <c r="K285" s="4" t="str">
        <f>TRIM(CLEAN(Table1[[#This Row],[Region]]))</f>
        <v>South</v>
      </c>
    </row>
    <row r="286" spans="1:11" x14ac:dyDescent="0.3">
      <c r="A286" s="2">
        <v>287</v>
      </c>
      <c r="B286" t="s">
        <v>21</v>
      </c>
      <c r="C286" t="s">
        <v>15</v>
      </c>
      <c r="D286" s="4">
        <v>54.145418139999997</v>
      </c>
      <c r="E286" s="4">
        <v>428.99188809999998</v>
      </c>
      <c r="F286" s="4">
        <v>503.55653000000001</v>
      </c>
      <c r="G286" s="4">
        <v>162.0246669</v>
      </c>
      <c r="H286" s="4">
        <v>26.32463508</v>
      </c>
      <c r="I286" t="s">
        <v>16</v>
      </c>
      <c r="J286" s="1">
        <v>45213</v>
      </c>
      <c r="K286" s="4" t="str">
        <f>TRIM(CLEAN(Table1[[#This Row],[Region]]))</f>
        <v>South</v>
      </c>
    </row>
    <row r="287" spans="1:11" x14ac:dyDescent="0.3">
      <c r="A287" s="2">
        <v>288</v>
      </c>
      <c r="B287" t="s">
        <v>13</v>
      </c>
      <c r="C287" t="s">
        <v>19</v>
      </c>
      <c r="D287" s="4">
        <v>42.276959750000003</v>
      </c>
      <c r="E287" s="4">
        <v>440.2290486</v>
      </c>
      <c r="F287" s="4">
        <v>480.48430000000002</v>
      </c>
      <c r="G287" s="4">
        <v>163.9407722</v>
      </c>
      <c r="H287" s="4">
        <v>38.335063529999999</v>
      </c>
      <c r="I287" t="s">
        <v>20</v>
      </c>
      <c r="J287" s="1">
        <v>45214</v>
      </c>
      <c r="K287" s="4" t="str">
        <f>TRIM(CLEAN(Table1[[#This Row],[Region]]))</f>
        <v>East</v>
      </c>
    </row>
    <row r="288" spans="1:11" x14ac:dyDescent="0.3">
      <c r="A288" s="2">
        <v>289</v>
      </c>
      <c r="B288" t="s">
        <v>20</v>
      </c>
      <c r="C288" t="s">
        <v>20</v>
      </c>
      <c r="D288" s="4">
        <v>35.643811720000002</v>
      </c>
      <c r="E288" s="4">
        <v>347.37290030000003</v>
      </c>
      <c r="F288" s="4">
        <v>555.40584430000001</v>
      </c>
      <c r="G288" s="4">
        <v>114.1469026</v>
      </c>
      <c r="H288" s="4">
        <v>31.992820330000001</v>
      </c>
      <c r="I288" t="s">
        <v>18</v>
      </c>
      <c r="J288" s="1">
        <v>45215</v>
      </c>
      <c r="K288" s="4" t="str">
        <f>TRIM(CLEAN(Table1[[#This Row],[Region]]))</f>
        <v>Unknown</v>
      </c>
    </row>
    <row r="289" spans="1:11" x14ac:dyDescent="0.3">
      <c r="A289" s="2">
        <v>290</v>
      </c>
      <c r="B289" t="s">
        <v>14</v>
      </c>
      <c r="C289" t="s">
        <v>17</v>
      </c>
      <c r="D289" s="4">
        <v>30.868935749999999</v>
      </c>
      <c r="E289" s="4">
        <v>503.25755770000001</v>
      </c>
      <c r="F289" s="4">
        <v>451.2591157</v>
      </c>
      <c r="G289" s="4">
        <v>201.6165116</v>
      </c>
      <c r="H289" s="4">
        <v>25.652836260000001</v>
      </c>
      <c r="I289" t="s">
        <v>16</v>
      </c>
      <c r="J289" s="1">
        <v>45216</v>
      </c>
      <c r="K289" s="4" t="str">
        <f>TRIM(CLEAN(Table1[[#This Row],[Region]]))</f>
        <v>North</v>
      </c>
    </row>
    <row r="290" spans="1:11" x14ac:dyDescent="0.3">
      <c r="A290" s="2">
        <v>291</v>
      </c>
      <c r="B290" t="s">
        <v>14</v>
      </c>
      <c r="C290" t="s">
        <v>20</v>
      </c>
      <c r="D290" s="4">
        <v>59.763839529999998</v>
      </c>
      <c r="E290" s="4">
        <v>521.39038679999999</v>
      </c>
      <c r="F290" s="4">
        <v>351.8838179</v>
      </c>
      <c r="G290" s="4">
        <v>54.776780170000002</v>
      </c>
      <c r="H290" s="4">
        <v>41.061953189999997</v>
      </c>
      <c r="I290" t="s">
        <v>20</v>
      </c>
      <c r="J290" s="1">
        <v>45217</v>
      </c>
      <c r="K290" s="4" t="str">
        <f>TRIM(CLEAN(Table1[[#This Row],[Region]]))</f>
        <v>North</v>
      </c>
    </row>
    <row r="291" spans="1:11" x14ac:dyDescent="0.3">
      <c r="A291" s="2">
        <v>292</v>
      </c>
      <c r="B291" t="s">
        <v>10</v>
      </c>
      <c r="C291" t="s">
        <v>11</v>
      </c>
      <c r="D291" s="4">
        <v>61.040491359999997</v>
      </c>
      <c r="E291" s="4">
        <v>481.05863290000002</v>
      </c>
      <c r="F291" s="4">
        <v>446.45180349999998</v>
      </c>
      <c r="G291" s="4">
        <v>229.5707755</v>
      </c>
      <c r="H291" s="4">
        <v>31.958201200000001</v>
      </c>
      <c r="I291" t="s">
        <v>18</v>
      </c>
      <c r="J291" s="1">
        <v>45218</v>
      </c>
      <c r="K291" s="4" t="str">
        <f>TRIM(CLEAN(Table1[[#This Row],[Region]]))</f>
        <v>West</v>
      </c>
    </row>
    <row r="292" spans="1:11" x14ac:dyDescent="0.3">
      <c r="A292" s="2">
        <v>293</v>
      </c>
      <c r="B292" t="s">
        <v>13</v>
      </c>
      <c r="C292" t="s">
        <v>11</v>
      </c>
      <c r="D292" s="4">
        <v>53.026853490000001</v>
      </c>
      <c r="E292" s="4">
        <v>345.9752368</v>
      </c>
      <c r="F292" s="4">
        <v>360.27905129999999</v>
      </c>
      <c r="G292" s="4">
        <v>203.5940468</v>
      </c>
      <c r="H292" s="4">
        <v>33.38239334</v>
      </c>
      <c r="I292" t="s">
        <v>18</v>
      </c>
      <c r="J292" s="1">
        <v>45219</v>
      </c>
      <c r="K292" s="4" t="str">
        <f>TRIM(CLEAN(Table1[[#This Row],[Region]]))</f>
        <v>East</v>
      </c>
    </row>
    <row r="293" spans="1:11" x14ac:dyDescent="0.3">
      <c r="A293" s="2">
        <v>294</v>
      </c>
      <c r="B293" t="s">
        <v>21</v>
      </c>
      <c r="C293" t="s">
        <v>19</v>
      </c>
      <c r="D293" s="4">
        <v>223.29258250000001</v>
      </c>
      <c r="E293" s="4">
        <v>2793.3544940000002</v>
      </c>
      <c r="F293" s="4">
        <v>604.39761950000002</v>
      </c>
      <c r="G293" s="4">
        <v>223.5719933</v>
      </c>
      <c r="H293" s="4">
        <v>28.65323948</v>
      </c>
      <c r="I293" t="s">
        <v>16</v>
      </c>
      <c r="J293" s="1">
        <v>45220</v>
      </c>
      <c r="K293" s="4" t="str">
        <f>TRIM(CLEAN(Table1[[#This Row],[Region]]))</f>
        <v>South</v>
      </c>
    </row>
    <row r="294" spans="1:11" x14ac:dyDescent="0.3">
      <c r="A294" s="2">
        <v>295</v>
      </c>
      <c r="B294" t="s">
        <v>14</v>
      </c>
      <c r="C294" t="s">
        <v>15</v>
      </c>
      <c r="D294" s="4">
        <v>33.769541070000002</v>
      </c>
      <c r="E294" s="4">
        <v>554.92307970000002</v>
      </c>
      <c r="F294" s="4">
        <v>708.18711059999998</v>
      </c>
      <c r="G294" s="4">
        <v>252.85081410000001</v>
      </c>
      <c r="H294" s="4">
        <v>26.01836677</v>
      </c>
      <c r="I294" t="s">
        <v>18</v>
      </c>
      <c r="J294" s="1">
        <v>45221</v>
      </c>
      <c r="K294" s="4" t="str">
        <f>TRIM(CLEAN(Table1[[#This Row],[Region]]))</f>
        <v>North</v>
      </c>
    </row>
    <row r="295" spans="1:11" x14ac:dyDescent="0.3">
      <c r="A295" s="2">
        <v>296</v>
      </c>
      <c r="B295" t="s">
        <v>13</v>
      </c>
      <c r="C295" t="s">
        <v>11</v>
      </c>
      <c r="D295" s="4">
        <v>55.633454630000003</v>
      </c>
      <c r="E295" s="4">
        <v>763.42220440000006</v>
      </c>
      <c r="F295" s="4">
        <v>509.3783249</v>
      </c>
      <c r="G295" s="4">
        <v>209.9397294</v>
      </c>
      <c r="H295" s="4">
        <v>30.839066219999999</v>
      </c>
      <c r="I295" t="s">
        <v>18</v>
      </c>
      <c r="J295" s="1">
        <v>45222</v>
      </c>
      <c r="K295" s="4" t="str">
        <f>TRIM(CLEAN(Table1[[#This Row],[Region]]))</f>
        <v>East</v>
      </c>
    </row>
    <row r="296" spans="1:11" x14ac:dyDescent="0.3">
      <c r="A296" s="2">
        <v>297</v>
      </c>
      <c r="B296" t="s">
        <v>10</v>
      </c>
      <c r="C296" t="s">
        <v>19</v>
      </c>
      <c r="D296" s="4">
        <v>38.99220717</v>
      </c>
      <c r="E296" s="4">
        <v>419.48907600000001</v>
      </c>
      <c r="F296" s="4">
        <v>493.35321219999997</v>
      </c>
      <c r="G296" s="4">
        <v>281.5785869</v>
      </c>
      <c r="H296" s="4">
        <v>37.907318619999998</v>
      </c>
      <c r="I296" t="s">
        <v>20</v>
      </c>
      <c r="J296" s="1">
        <v>45223</v>
      </c>
      <c r="K296" s="4" t="str">
        <f>TRIM(CLEAN(Table1[[#This Row],[Region]]))</f>
        <v>West</v>
      </c>
    </row>
    <row r="297" spans="1:11" x14ac:dyDescent="0.3">
      <c r="A297" s="2">
        <v>298</v>
      </c>
      <c r="B297" t="s">
        <v>10</v>
      </c>
      <c r="C297" t="s">
        <v>20</v>
      </c>
      <c r="D297" s="4">
        <v>42.887013750000001</v>
      </c>
      <c r="E297" s="4">
        <v>595.78822279999997</v>
      </c>
      <c r="F297" s="4">
        <v>498.29217199999999</v>
      </c>
      <c r="G297" s="4">
        <v>231.09729050000001</v>
      </c>
      <c r="H297" s="4">
        <v>28.451700939999998</v>
      </c>
      <c r="I297" t="s">
        <v>20</v>
      </c>
      <c r="J297" s="1">
        <v>45224</v>
      </c>
      <c r="K297" s="4" t="str">
        <f>TRIM(CLEAN(Table1[[#This Row],[Region]]))</f>
        <v>West</v>
      </c>
    </row>
    <row r="298" spans="1:11" x14ac:dyDescent="0.3">
      <c r="A298" s="2">
        <v>299</v>
      </c>
      <c r="B298" t="s">
        <v>13</v>
      </c>
      <c r="C298" t="s">
        <v>20</v>
      </c>
      <c r="D298" s="4">
        <v>44.134359199999999</v>
      </c>
      <c r="E298" s="4">
        <v>577.92738870000005</v>
      </c>
      <c r="F298" s="4">
        <v>621.86808350000001</v>
      </c>
      <c r="G298" s="4">
        <v>162.14365770000001</v>
      </c>
      <c r="H298" s="4">
        <v>29.866243770000001</v>
      </c>
      <c r="I298" t="s">
        <v>18</v>
      </c>
      <c r="J298" s="1">
        <v>45225</v>
      </c>
      <c r="K298" s="4" t="str">
        <f>TRIM(CLEAN(Table1[[#This Row],[Region]]))</f>
        <v>East</v>
      </c>
    </row>
    <row r="299" spans="1:11" x14ac:dyDescent="0.3">
      <c r="A299" s="2">
        <v>300</v>
      </c>
      <c r="B299" t="s">
        <v>10</v>
      </c>
      <c r="C299" t="s">
        <v>19</v>
      </c>
      <c r="D299" s="4">
        <v>48.024647739999999</v>
      </c>
      <c r="E299" s="4">
        <v>470.94248970000001</v>
      </c>
      <c r="F299" s="4">
        <v>619.28388040000004</v>
      </c>
      <c r="G299" s="4">
        <v>188.11444789999999</v>
      </c>
      <c r="H299" s="4">
        <v>37.281642359999999</v>
      </c>
      <c r="I299" t="s">
        <v>20</v>
      </c>
      <c r="J299" s="1">
        <v>45226</v>
      </c>
      <c r="K299" s="4" t="str">
        <f>TRIM(CLEAN(Table1[[#This Row],[Region]]))</f>
        <v>West</v>
      </c>
    </row>
    <row r="300" spans="1:11" x14ac:dyDescent="0.3">
      <c r="A300" s="2">
        <v>301</v>
      </c>
      <c r="B300" t="s">
        <v>13</v>
      </c>
      <c r="C300" t="s">
        <v>17</v>
      </c>
      <c r="D300" s="4">
        <v>42.409595529999997</v>
      </c>
      <c r="E300" s="4">
        <v>503.25760000000002</v>
      </c>
      <c r="F300" s="4">
        <v>466.12157180000003</v>
      </c>
      <c r="G300" s="4">
        <v>86.935448660000006</v>
      </c>
      <c r="H300" s="4">
        <v>28.498365769999999</v>
      </c>
      <c r="I300" t="s">
        <v>20</v>
      </c>
      <c r="J300" s="1">
        <v>45227</v>
      </c>
      <c r="K300" s="4" t="str">
        <f>TRIM(CLEAN(Table1[[#This Row],[Region]]))</f>
        <v>East</v>
      </c>
    </row>
    <row r="301" spans="1:11" x14ac:dyDescent="0.3">
      <c r="A301" s="2">
        <v>302</v>
      </c>
      <c r="B301" t="s">
        <v>12</v>
      </c>
      <c r="C301" t="s">
        <v>19</v>
      </c>
      <c r="D301" s="4">
        <v>150.9936008</v>
      </c>
      <c r="E301" s="4">
        <v>459.45899919999999</v>
      </c>
      <c r="F301" s="4">
        <v>510.31079130000001</v>
      </c>
      <c r="G301" s="4">
        <v>154.890478</v>
      </c>
      <c r="H301" s="4">
        <v>32.551381560000003</v>
      </c>
      <c r="I301" t="s">
        <v>16</v>
      </c>
      <c r="J301" s="1">
        <v>45228</v>
      </c>
      <c r="K301" s="4" t="str">
        <f>TRIM(CLEAN(Table1[[#This Row],[Region]]))</f>
        <v>South</v>
      </c>
    </row>
    <row r="302" spans="1:11" x14ac:dyDescent="0.3">
      <c r="A302" s="2">
        <v>303</v>
      </c>
      <c r="B302" t="s">
        <v>13</v>
      </c>
      <c r="C302" t="s">
        <v>17</v>
      </c>
      <c r="D302" s="4">
        <v>43.781816990000003</v>
      </c>
      <c r="E302" s="4">
        <v>463.91085809999998</v>
      </c>
      <c r="F302" s="4">
        <v>558.31756889999997</v>
      </c>
      <c r="G302" s="4">
        <v>180.95017970000001</v>
      </c>
      <c r="H302" s="4">
        <v>34.386752530000003</v>
      </c>
      <c r="I302" t="s">
        <v>18</v>
      </c>
      <c r="J302" s="1">
        <v>45229</v>
      </c>
      <c r="K302" s="4" t="str">
        <f>TRIM(CLEAN(Table1[[#This Row],[Region]]))</f>
        <v>East</v>
      </c>
    </row>
    <row r="303" spans="1:11" x14ac:dyDescent="0.3">
      <c r="A303" s="2">
        <v>304</v>
      </c>
      <c r="B303" t="s">
        <v>20</v>
      </c>
      <c r="C303" t="s">
        <v>19</v>
      </c>
      <c r="D303" s="4">
        <v>57.013730649999999</v>
      </c>
      <c r="E303" s="4">
        <v>152.85701080000001</v>
      </c>
      <c r="F303" s="4">
        <v>343.4775052</v>
      </c>
      <c r="G303" s="4">
        <v>227.3136805</v>
      </c>
      <c r="H303" s="4">
        <v>29.01609526</v>
      </c>
      <c r="I303" t="s">
        <v>16</v>
      </c>
      <c r="J303" s="1">
        <v>45230</v>
      </c>
      <c r="K303" s="4" t="str">
        <f>TRIM(CLEAN(Table1[[#This Row],[Region]]))</f>
        <v>Unknown</v>
      </c>
    </row>
    <row r="304" spans="1:11" x14ac:dyDescent="0.3">
      <c r="A304" s="2">
        <v>305</v>
      </c>
      <c r="B304" t="s">
        <v>13</v>
      </c>
      <c r="C304" t="s">
        <v>19</v>
      </c>
      <c r="D304" s="4">
        <v>60.310629140000003</v>
      </c>
      <c r="E304" s="4">
        <v>540.90280540000003</v>
      </c>
      <c r="F304" s="4">
        <v>625.51298850000001</v>
      </c>
      <c r="G304" s="4">
        <v>162.48194860000001</v>
      </c>
      <c r="H304" s="4">
        <v>29.664100000000001</v>
      </c>
      <c r="I304" t="s">
        <v>18</v>
      </c>
      <c r="J304" s="1">
        <v>45231</v>
      </c>
      <c r="K304" s="4" t="str">
        <f>TRIM(CLEAN(Table1[[#This Row],[Region]]))</f>
        <v>East</v>
      </c>
    </row>
    <row r="305" spans="1:11" x14ac:dyDescent="0.3">
      <c r="A305" s="2">
        <v>306</v>
      </c>
      <c r="B305" t="s">
        <v>10</v>
      </c>
      <c r="C305" t="s">
        <v>19</v>
      </c>
      <c r="D305" s="4">
        <v>51.085426759999997</v>
      </c>
      <c r="E305" s="4">
        <v>367.4490088</v>
      </c>
      <c r="F305" s="4">
        <v>688.17982689999997</v>
      </c>
      <c r="G305" s="4">
        <v>137.68679929999999</v>
      </c>
      <c r="H305" s="4">
        <v>33.30551389</v>
      </c>
      <c r="I305" t="s">
        <v>20</v>
      </c>
      <c r="J305" s="1">
        <v>45232</v>
      </c>
      <c r="K305" s="4" t="str">
        <f>TRIM(CLEAN(Table1[[#This Row],[Region]]))</f>
        <v>West</v>
      </c>
    </row>
    <row r="306" spans="1:11" x14ac:dyDescent="0.3">
      <c r="A306" s="2">
        <v>307</v>
      </c>
      <c r="B306" t="s">
        <v>20</v>
      </c>
      <c r="C306" t="s">
        <v>17</v>
      </c>
      <c r="D306" s="4">
        <v>54.626263350000002</v>
      </c>
      <c r="E306" s="4">
        <v>444.92788039999999</v>
      </c>
      <c r="F306" s="4">
        <v>619.80385260000003</v>
      </c>
      <c r="G306" s="4">
        <v>105.6234048</v>
      </c>
      <c r="H306" s="4">
        <v>27.995424029999999</v>
      </c>
      <c r="I306" t="s">
        <v>18</v>
      </c>
      <c r="J306" s="1">
        <v>45233</v>
      </c>
      <c r="K306" s="4" t="str">
        <f>TRIM(CLEAN(Table1[[#This Row],[Region]]))</f>
        <v>Unknown</v>
      </c>
    </row>
    <row r="307" spans="1:11" x14ac:dyDescent="0.3">
      <c r="A307" s="2">
        <v>308</v>
      </c>
      <c r="B307" t="s">
        <v>10</v>
      </c>
      <c r="C307" t="s">
        <v>17</v>
      </c>
      <c r="D307" s="4">
        <v>71.178559500000006</v>
      </c>
      <c r="E307" s="4">
        <v>397.37803609999997</v>
      </c>
      <c r="F307" s="4">
        <v>330.52873060000002</v>
      </c>
      <c r="G307" s="4">
        <v>170.1791241</v>
      </c>
      <c r="H307" s="4">
        <v>34.078825819999999</v>
      </c>
      <c r="I307" t="s">
        <v>20</v>
      </c>
      <c r="J307" s="1">
        <v>45234</v>
      </c>
      <c r="K307" s="4" t="str">
        <f>TRIM(CLEAN(Table1[[#This Row],[Region]]))</f>
        <v>West</v>
      </c>
    </row>
    <row r="308" spans="1:11" x14ac:dyDescent="0.3">
      <c r="A308" s="2">
        <v>309</v>
      </c>
      <c r="B308" t="s">
        <v>14</v>
      </c>
      <c r="C308" t="s">
        <v>19</v>
      </c>
      <c r="D308" s="4">
        <v>38.273967429999999</v>
      </c>
      <c r="E308" s="4">
        <v>463.37684610000002</v>
      </c>
      <c r="F308" s="4">
        <v>243.5999453</v>
      </c>
      <c r="G308" s="4">
        <v>297.54259009999998</v>
      </c>
      <c r="H308" s="4">
        <v>27.265069579999999</v>
      </c>
      <c r="I308" t="s">
        <v>20</v>
      </c>
      <c r="J308" s="1">
        <v>45235</v>
      </c>
      <c r="K308" s="4" t="str">
        <f>TRIM(CLEAN(Table1[[#This Row],[Region]]))</f>
        <v>North</v>
      </c>
    </row>
    <row r="309" spans="1:11" x14ac:dyDescent="0.3">
      <c r="A309" s="2">
        <v>310</v>
      </c>
      <c r="B309" t="s">
        <v>14</v>
      </c>
      <c r="C309" t="s">
        <v>11</v>
      </c>
      <c r="D309" s="4">
        <v>37.665318990000003</v>
      </c>
      <c r="E309" s="4">
        <v>544.38802299999998</v>
      </c>
      <c r="F309" s="4">
        <v>565.04624079999996</v>
      </c>
      <c r="G309" s="4">
        <v>213.55535169999999</v>
      </c>
      <c r="H309" s="4">
        <v>26.624562109999999</v>
      </c>
      <c r="I309" t="s">
        <v>16</v>
      </c>
      <c r="J309" s="1">
        <v>45236</v>
      </c>
      <c r="K309" s="4" t="str">
        <f>TRIM(CLEAN(Table1[[#This Row],[Region]]))</f>
        <v>North</v>
      </c>
    </row>
    <row r="310" spans="1:11" x14ac:dyDescent="0.3">
      <c r="A310" s="2">
        <v>311</v>
      </c>
      <c r="B310" t="s">
        <v>20</v>
      </c>
      <c r="C310" t="s">
        <v>15</v>
      </c>
      <c r="D310" s="4">
        <v>56.94997901</v>
      </c>
      <c r="E310" s="4">
        <v>501.11415629999999</v>
      </c>
      <c r="F310" s="4">
        <v>388.77726610000002</v>
      </c>
      <c r="G310" s="4">
        <v>246.9789706</v>
      </c>
      <c r="H310" s="4">
        <v>22.364794700000001</v>
      </c>
      <c r="I310" t="s">
        <v>16</v>
      </c>
      <c r="J310" s="1">
        <v>45237</v>
      </c>
      <c r="K310" s="4" t="str">
        <f>TRIM(CLEAN(Table1[[#This Row],[Region]]))</f>
        <v>Unknown</v>
      </c>
    </row>
    <row r="311" spans="1:11" x14ac:dyDescent="0.3">
      <c r="A311" s="2">
        <v>312</v>
      </c>
      <c r="B311" t="s">
        <v>12</v>
      </c>
      <c r="C311" t="s">
        <v>15</v>
      </c>
      <c r="D311" s="4">
        <v>69.465428380000006</v>
      </c>
      <c r="E311" s="4">
        <v>570.96412910000004</v>
      </c>
      <c r="F311" s="4">
        <v>514.45600249999995</v>
      </c>
      <c r="G311" s="4">
        <v>154.9972884</v>
      </c>
      <c r="H311" s="4">
        <v>27.482688280000001</v>
      </c>
      <c r="I311" t="s">
        <v>16</v>
      </c>
      <c r="J311" s="1">
        <v>45238</v>
      </c>
      <c r="K311" s="4" t="str">
        <f>TRIM(CLEAN(Table1[[#This Row],[Region]]))</f>
        <v>South</v>
      </c>
    </row>
    <row r="312" spans="1:11" x14ac:dyDescent="0.3">
      <c r="A312" s="2">
        <v>313</v>
      </c>
      <c r="B312" t="s">
        <v>14</v>
      </c>
      <c r="C312" t="s">
        <v>15</v>
      </c>
      <c r="D312" s="4">
        <v>47.395014379999999</v>
      </c>
      <c r="E312" s="4">
        <v>626.56295360000001</v>
      </c>
      <c r="F312" s="4">
        <v>664.21784639999998</v>
      </c>
      <c r="G312" s="4">
        <v>121.327512</v>
      </c>
      <c r="H312" s="4">
        <v>25.922486490000001</v>
      </c>
      <c r="I312" t="s">
        <v>18</v>
      </c>
      <c r="J312" s="1">
        <v>45239</v>
      </c>
      <c r="K312" s="4" t="str">
        <f>TRIM(CLEAN(Table1[[#This Row],[Region]]))</f>
        <v>North</v>
      </c>
    </row>
    <row r="313" spans="1:11" x14ac:dyDescent="0.3">
      <c r="A313" s="2">
        <v>314</v>
      </c>
      <c r="B313" t="s">
        <v>13</v>
      </c>
      <c r="C313" t="s">
        <v>17</v>
      </c>
      <c r="D313" s="4">
        <v>67.268338420000006</v>
      </c>
      <c r="E313" s="4">
        <v>463.12040630000001</v>
      </c>
      <c r="F313" s="4">
        <v>401.16537879999998</v>
      </c>
      <c r="G313" s="4">
        <v>138.9461268</v>
      </c>
      <c r="H313" s="4">
        <v>27.995630219999999</v>
      </c>
      <c r="I313" t="s">
        <v>16</v>
      </c>
      <c r="J313" s="1">
        <v>45240</v>
      </c>
      <c r="K313" s="4" t="str">
        <f>TRIM(CLEAN(Table1[[#This Row],[Region]]))</f>
        <v>East</v>
      </c>
    </row>
    <row r="314" spans="1:11" x14ac:dyDescent="0.3">
      <c r="A314" s="2">
        <v>315</v>
      </c>
      <c r="B314" t="s">
        <v>10</v>
      </c>
      <c r="C314" t="s">
        <v>17</v>
      </c>
      <c r="D314" s="4">
        <v>50.964337190000002</v>
      </c>
      <c r="E314" s="4">
        <v>452.14327580000003</v>
      </c>
      <c r="F314" s="4">
        <v>434.6934412</v>
      </c>
      <c r="G314" s="4">
        <v>199.07849999999999</v>
      </c>
      <c r="H314" s="4">
        <v>33.059963160000002</v>
      </c>
      <c r="I314" t="s">
        <v>16</v>
      </c>
      <c r="J314" s="1">
        <v>45241</v>
      </c>
      <c r="K314" s="4" t="str">
        <f>TRIM(CLEAN(Table1[[#This Row],[Region]]))</f>
        <v>West</v>
      </c>
    </row>
    <row r="315" spans="1:11" x14ac:dyDescent="0.3">
      <c r="A315" s="2">
        <v>316</v>
      </c>
      <c r="B315" t="s">
        <v>14</v>
      </c>
      <c r="C315" t="s">
        <v>11</v>
      </c>
      <c r="D315" s="4">
        <v>43.191127180000002</v>
      </c>
      <c r="E315" s="4">
        <v>595.77276540000003</v>
      </c>
      <c r="F315" s="4">
        <v>513.20675670000003</v>
      </c>
      <c r="G315" s="4">
        <v>100.2935578</v>
      </c>
      <c r="H315" s="4">
        <v>21.371628730000001</v>
      </c>
      <c r="I315" t="s">
        <v>18</v>
      </c>
      <c r="J315" s="1">
        <v>45242</v>
      </c>
      <c r="K315" s="4" t="str">
        <f>TRIM(CLEAN(Table1[[#This Row],[Region]]))</f>
        <v>North</v>
      </c>
    </row>
    <row r="316" spans="1:11" x14ac:dyDescent="0.3">
      <c r="A316" s="2">
        <v>317</v>
      </c>
      <c r="B316" t="s">
        <v>20</v>
      </c>
      <c r="C316" t="s">
        <v>15</v>
      </c>
      <c r="D316" s="4">
        <v>40.093076109999998</v>
      </c>
      <c r="E316" s="4">
        <v>603.70472889999996</v>
      </c>
      <c r="F316" s="4">
        <v>480.48430000000002</v>
      </c>
      <c r="G316" s="4">
        <v>149.67047919999999</v>
      </c>
      <c r="H316" s="4">
        <v>20.126645530000001</v>
      </c>
      <c r="I316" t="s">
        <v>20</v>
      </c>
      <c r="J316" s="1">
        <v>45243</v>
      </c>
      <c r="K316" s="4" t="str">
        <f>TRIM(CLEAN(Table1[[#This Row],[Region]]))</f>
        <v>Unknown</v>
      </c>
    </row>
    <row r="317" spans="1:11" x14ac:dyDescent="0.3">
      <c r="A317" s="2">
        <v>318</v>
      </c>
      <c r="B317" t="s">
        <v>12</v>
      </c>
      <c r="C317" t="s">
        <v>15</v>
      </c>
      <c r="D317" s="4">
        <v>56.294135850000004</v>
      </c>
      <c r="E317" s="4">
        <v>574.05908680000005</v>
      </c>
      <c r="F317" s="4">
        <v>389.05725649999999</v>
      </c>
      <c r="G317" s="4">
        <v>170.68196570000001</v>
      </c>
      <c r="H317" s="4">
        <v>26.254603920000001</v>
      </c>
      <c r="I317" t="s">
        <v>20</v>
      </c>
      <c r="J317" s="1">
        <v>45244</v>
      </c>
      <c r="K317" s="4" t="str">
        <f>TRIM(CLEAN(Table1[[#This Row],[Region]]))</f>
        <v>South</v>
      </c>
    </row>
    <row r="318" spans="1:11" x14ac:dyDescent="0.3">
      <c r="A318" s="2">
        <v>319</v>
      </c>
      <c r="B318" t="s">
        <v>20</v>
      </c>
      <c r="C318" t="s">
        <v>19</v>
      </c>
      <c r="D318" s="4">
        <v>40.850409319999997</v>
      </c>
      <c r="E318" s="4">
        <v>404.78211929999998</v>
      </c>
      <c r="F318" s="4">
        <v>482.98290050000003</v>
      </c>
      <c r="G318" s="4">
        <v>133.95373470000001</v>
      </c>
      <c r="H318" s="4">
        <v>32.306152470000001</v>
      </c>
      <c r="I318" t="s">
        <v>20</v>
      </c>
      <c r="J318" s="1">
        <v>45245</v>
      </c>
      <c r="K318" s="4" t="str">
        <f>TRIM(CLEAN(Table1[[#This Row],[Region]]))</f>
        <v>Unknown</v>
      </c>
    </row>
    <row r="319" spans="1:11" x14ac:dyDescent="0.3">
      <c r="A319" s="2">
        <v>320</v>
      </c>
      <c r="B319" t="s">
        <v>20</v>
      </c>
      <c r="C319" t="s">
        <v>17</v>
      </c>
      <c r="D319" s="4">
        <v>50.812768429999998</v>
      </c>
      <c r="E319" s="4">
        <v>542.26550659999998</v>
      </c>
      <c r="F319" s="4">
        <v>443.94541570000001</v>
      </c>
      <c r="G319" s="4">
        <v>93.815849130000004</v>
      </c>
      <c r="H319" s="4">
        <v>31.444324739999999</v>
      </c>
      <c r="I319" t="s">
        <v>18</v>
      </c>
      <c r="J319" s="1">
        <v>45246</v>
      </c>
      <c r="K319" s="4" t="str">
        <f>TRIM(CLEAN(Table1[[#This Row],[Region]]))</f>
        <v>Unknown</v>
      </c>
    </row>
    <row r="320" spans="1:11" x14ac:dyDescent="0.3">
      <c r="A320" s="2">
        <v>321</v>
      </c>
      <c r="B320" t="s">
        <v>21</v>
      </c>
      <c r="C320" t="s">
        <v>15</v>
      </c>
      <c r="D320" s="4">
        <v>65.834650249999996</v>
      </c>
      <c r="E320" s="4">
        <v>510.9470604</v>
      </c>
      <c r="F320" s="4">
        <v>553.00893050000002</v>
      </c>
      <c r="G320" s="4">
        <v>214.48268490000001</v>
      </c>
      <c r="H320" s="4">
        <v>26.174688339999999</v>
      </c>
      <c r="I320" t="s">
        <v>18</v>
      </c>
      <c r="J320" s="1">
        <v>45247</v>
      </c>
      <c r="K320" s="4" t="str">
        <f>TRIM(CLEAN(Table1[[#This Row],[Region]]))</f>
        <v>South</v>
      </c>
    </row>
    <row r="321" spans="1:11" x14ac:dyDescent="0.3">
      <c r="A321" s="2">
        <v>322</v>
      </c>
      <c r="B321" t="s">
        <v>12</v>
      </c>
      <c r="C321" t="s">
        <v>20</v>
      </c>
      <c r="D321" s="4">
        <v>46.932196070000003</v>
      </c>
      <c r="E321" s="4">
        <v>605.25289410000005</v>
      </c>
      <c r="F321" s="4">
        <v>811.91755369999998</v>
      </c>
      <c r="G321" s="4">
        <v>202.2935722</v>
      </c>
      <c r="H321" s="4">
        <v>35.847041160000003</v>
      </c>
      <c r="I321" t="s">
        <v>18</v>
      </c>
      <c r="J321" s="1">
        <v>45248</v>
      </c>
      <c r="K321" s="4" t="str">
        <f>TRIM(CLEAN(Table1[[#This Row],[Region]]))</f>
        <v>South</v>
      </c>
    </row>
    <row r="322" spans="1:11" x14ac:dyDescent="0.3">
      <c r="A322" s="2">
        <v>323</v>
      </c>
      <c r="B322" t="s">
        <v>13</v>
      </c>
      <c r="C322" t="s">
        <v>11</v>
      </c>
      <c r="D322" s="4">
        <v>119.4566502</v>
      </c>
      <c r="E322" s="4">
        <v>442.71279099999998</v>
      </c>
      <c r="F322" s="4">
        <v>491.89660070000002</v>
      </c>
      <c r="G322" s="4">
        <v>238.9514934</v>
      </c>
      <c r="H322" s="4">
        <v>26.707950319999998</v>
      </c>
      <c r="I322" t="s">
        <v>20</v>
      </c>
      <c r="J322" s="1">
        <v>45249</v>
      </c>
      <c r="K322" s="4" t="str">
        <f>TRIM(CLEAN(Table1[[#This Row],[Region]]))</f>
        <v>East</v>
      </c>
    </row>
    <row r="323" spans="1:11" x14ac:dyDescent="0.3">
      <c r="A323" s="2">
        <v>324</v>
      </c>
      <c r="B323" t="s">
        <v>20</v>
      </c>
      <c r="C323" t="s">
        <v>20</v>
      </c>
      <c r="D323" s="4">
        <v>37.854565100000002</v>
      </c>
      <c r="E323" s="4">
        <v>503.25760000000002</v>
      </c>
      <c r="F323" s="4">
        <v>378.99456650000002</v>
      </c>
      <c r="G323" s="4">
        <v>144.4787125</v>
      </c>
      <c r="H323" s="4">
        <v>32.312269929999999</v>
      </c>
      <c r="I323" t="s">
        <v>20</v>
      </c>
      <c r="J323" s="1">
        <v>45250</v>
      </c>
      <c r="K323" s="4" t="str">
        <f>TRIM(CLEAN(Table1[[#This Row],[Region]]))</f>
        <v>Unknown</v>
      </c>
    </row>
    <row r="324" spans="1:11" x14ac:dyDescent="0.3">
      <c r="A324" s="2">
        <v>325</v>
      </c>
      <c r="B324" t="s">
        <v>10</v>
      </c>
      <c r="C324" t="s">
        <v>20</v>
      </c>
      <c r="D324" s="4">
        <v>44.660908990000003</v>
      </c>
      <c r="E324" s="4">
        <v>569.02368000000001</v>
      </c>
      <c r="F324" s="4">
        <v>650.18884260000004</v>
      </c>
      <c r="G324" s="4">
        <v>237.99613719999999</v>
      </c>
      <c r="H324" s="4">
        <v>28.18606836</v>
      </c>
      <c r="I324" t="s">
        <v>18</v>
      </c>
      <c r="J324" s="1">
        <v>45251</v>
      </c>
      <c r="K324" s="4" t="str">
        <f>TRIM(CLEAN(Table1[[#This Row],[Region]]))</f>
        <v>West</v>
      </c>
    </row>
    <row r="325" spans="1:11" x14ac:dyDescent="0.3">
      <c r="A325" s="2">
        <v>326</v>
      </c>
      <c r="B325" t="s">
        <v>12</v>
      </c>
      <c r="C325" t="s">
        <v>11</v>
      </c>
      <c r="D325" s="4">
        <v>35.928559739999997</v>
      </c>
      <c r="E325" s="4">
        <v>244.16316169999999</v>
      </c>
      <c r="F325" s="4">
        <v>289.34178300000002</v>
      </c>
      <c r="G325" s="4">
        <v>276.4652097</v>
      </c>
      <c r="H325" s="4">
        <v>25.656118249999999</v>
      </c>
      <c r="I325" t="s">
        <v>16</v>
      </c>
      <c r="J325" s="1">
        <v>45252</v>
      </c>
      <c r="K325" s="4" t="str">
        <f>TRIM(CLEAN(Table1[[#This Row],[Region]]))</f>
        <v>South</v>
      </c>
    </row>
    <row r="326" spans="1:11" x14ac:dyDescent="0.3">
      <c r="A326" s="2">
        <v>327</v>
      </c>
      <c r="B326" t="s">
        <v>14</v>
      </c>
      <c r="C326" t="s">
        <v>20</v>
      </c>
      <c r="D326" s="4">
        <v>50.729967559999999</v>
      </c>
      <c r="E326" s="4">
        <v>426.84865960000002</v>
      </c>
      <c r="F326" s="4">
        <v>313.33101950000002</v>
      </c>
      <c r="G326" s="4">
        <v>213.1107366</v>
      </c>
      <c r="H326" s="4">
        <v>26.974666060000001</v>
      </c>
      <c r="I326" t="s">
        <v>16</v>
      </c>
      <c r="J326" s="1">
        <v>45253</v>
      </c>
      <c r="K326" s="4" t="str">
        <f>TRIM(CLEAN(Table1[[#This Row],[Region]]))</f>
        <v>North</v>
      </c>
    </row>
    <row r="327" spans="1:11" x14ac:dyDescent="0.3">
      <c r="A327" s="2">
        <v>328</v>
      </c>
      <c r="B327" t="s">
        <v>10</v>
      </c>
      <c r="C327" t="s">
        <v>15</v>
      </c>
      <c r="D327" s="4">
        <v>57.800781800000003</v>
      </c>
      <c r="E327" s="4">
        <v>397.68044889999999</v>
      </c>
      <c r="F327" s="4">
        <v>408.58758740000002</v>
      </c>
      <c r="G327" s="4">
        <v>169.50318530000001</v>
      </c>
      <c r="H327" s="4">
        <v>33.670001919999997</v>
      </c>
      <c r="I327" t="s">
        <v>18</v>
      </c>
      <c r="J327" s="1">
        <v>45254</v>
      </c>
      <c r="K327" s="4" t="str">
        <f>TRIM(CLEAN(Table1[[#This Row],[Region]]))</f>
        <v>West</v>
      </c>
    </row>
    <row r="328" spans="1:11" x14ac:dyDescent="0.3">
      <c r="A328" s="2">
        <v>329</v>
      </c>
      <c r="B328" t="s">
        <v>10</v>
      </c>
      <c r="C328" t="s">
        <v>17</v>
      </c>
      <c r="D328" s="4">
        <v>50.751870879999998</v>
      </c>
      <c r="E328" s="4">
        <v>397.00653290000002</v>
      </c>
      <c r="F328" s="4">
        <v>446.05359349999998</v>
      </c>
      <c r="G328" s="4">
        <v>207.25403249999999</v>
      </c>
      <c r="H328" s="4">
        <v>31.80512573</v>
      </c>
      <c r="I328" t="s">
        <v>18</v>
      </c>
      <c r="J328" s="1">
        <v>45255</v>
      </c>
      <c r="K328" s="4" t="str">
        <f>TRIM(CLEAN(Table1[[#This Row],[Region]]))</f>
        <v>West</v>
      </c>
    </row>
    <row r="329" spans="1:11" x14ac:dyDescent="0.3">
      <c r="A329" s="2">
        <v>330</v>
      </c>
      <c r="B329" t="s">
        <v>14</v>
      </c>
      <c r="C329" t="s">
        <v>11</v>
      </c>
      <c r="D329" s="4">
        <v>62.270500599999998</v>
      </c>
      <c r="E329" s="4">
        <v>425.09685289999999</v>
      </c>
      <c r="F329" s="4">
        <v>405.71127159999998</v>
      </c>
      <c r="G329" s="4">
        <v>167.11063050000001</v>
      </c>
      <c r="H329" s="4">
        <v>34.840513319999999</v>
      </c>
      <c r="I329" t="s">
        <v>16</v>
      </c>
      <c r="J329" s="1">
        <v>45256</v>
      </c>
      <c r="K329" s="4" t="str">
        <f>TRIM(CLEAN(Table1[[#This Row],[Region]]))</f>
        <v>North</v>
      </c>
    </row>
    <row r="330" spans="1:11" x14ac:dyDescent="0.3">
      <c r="A330" s="2">
        <v>331</v>
      </c>
      <c r="B330" t="s">
        <v>12</v>
      </c>
      <c r="C330" t="s">
        <v>19</v>
      </c>
      <c r="D330" s="4">
        <v>42.508207589999998</v>
      </c>
      <c r="E330" s="4">
        <v>621.73735699999997</v>
      </c>
      <c r="F330" s="4">
        <v>476.21852109999998</v>
      </c>
      <c r="G330" s="4">
        <v>158.78582209999999</v>
      </c>
      <c r="H330" s="4">
        <v>31.804930410000001</v>
      </c>
      <c r="I330" t="s">
        <v>18</v>
      </c>
      <c r="J330" s="1">
        <v>45257</v>
      </c>
      <c r="K330" s="4" t="str">
        <f>TRIM(CLEAN(Table1[[#This Row],[Region]]))</f>
        <v>South</v>
      </c>
    </row>
    <row r="331" spans="1:11" x14ac:dyDescent="0.3">
      <c r="A331" s="2">
        <v>332</v>
      </c>
      <c r="B331" t="s">
        <v>14</v>
      </c>
      <c r="C331" t="s">
        <v>20</v>
      </c>
      <c r="D331" s="4">
        <v>52.253427539999997</v>
      </c>
      <c r="E331" s="4">
        <v>582.05554189999998</v>
      </c>
      <c r="F331" s="4">
        <v>512.96902829999999</v>
      </c>
      <c r="G331" s="4">
        <v>234.16301949999999</v>
      </c>
      <c r="H331" s="4">
        <v>21.944152679999998</v>
      </c>
      <c r="I331" t="s">
        <v>18</v>
      </c>
      <c r="J331" s="1">
        <v>45258</v>
      </c>
      <c r="K331" s="4" t="str">
        <f>TRIM(CLEAN(Table1[[#This Row],[Region]]))</f>
        <v>North</v>
      </c>
    </row>
    <row r="332" spans="1:11" x14ac:dyDescent="0.3">
      <c r="A332" s="2">
        <v>333</v>
      </c>
      <c r="B332" t="s">
        <v>21</v>
      </c>
      <c r="C332" t="s">
        <v>11</v>
      </c>
      <c r="D332" s="4">
        <v>44.725306760000002</v>
      </c>
      <c r="E332" s="4">
        <v>503.25760000000002</v>
      </c>
      <c r="F332" s="4">
        <v>608.2751442</v>
      </c>
      <c r="G332" s="4">
        <v>193.047484</v>
      </c>
      <c r="H332" s="4">
        <v>40.57207417</v>
      </c>
      <c r="I332" t="s">
        <v>16</v>
      </c>
      <c r="J332" s="1">
        <v>45259</v>
      </c>
      <c r="K332" s="4" t="str">
        <f>TRIM(CLEAN(Table1[[#This Row],[Region]]))</f>
        <v>South</v>
      </c>
    </row>
    <row r="333" spans="1:11" x14ac:dyDescent="0.3">
      <c r="A333" s="2">
        <v>334</v>
      </c>
      <c r="B333" t="s">
        <v>10</v>
      </c>
      <c r="C333" t="s">
        <v>19</v>
      </c>
      <c r="D333" s="4">
        <v>53.61676585</v>
      </c>
      <c r="E333" s="4">
        <v>613.36234720000004</v>
      </c>
      <c r="F333" s="4">
        <v>490.94259290000002</v>
      </c>
      <c r="G333" s="4">
        <v>260.25478270000002</v>
      </c>
      <c r="H333" s="4">
        <v>31.87584507</v>
      </c>
      <c r="I333" t="s">
        <v>18</v>
      </c>
      <c r="J333" s="1">
        <v>45260</v>
      </c>
      <c r="K333" s="4" t="str">
        <f>TRIM(CLEAN(Table1[[#This Row],[Region]]))</f>
        <v>West</v>
      </c>
    </row>
    <row r="334" spans="1:11" x14ac:dyDescent="0.3">
      <c r="A334" s="2">
        <v>335</v>
      </c>
      <c r="B334" t="s">
        <v>14</v>
      </c>
      <c r="C334" t="s">
        <v>19</v>
      </c>
      <c r="D334" s="4">
        <v>55.037360460000002</v>
      </c>
      <c r="E334" s="4">
        <v>393.7702845</v>
      </c>
      <c r="F334" s="4">
        <v>412.56645029999999</v>
      </c>
      <c r="G334" s="4">
        <v>177.8788505</v>
      </c>
      <c r="H334" s="4">
        <v>32.573357770000001</v>
      </c>
      <c r="I334" t="s">
        <v>16</v>
      </c>
      <c r="J334" s="1">
        <v>45261</v>
      </c>
      <c r="K334" s="4" t="str">
        <f>TRIM(CLEAN(Table1[[#This Row],[Region]]))</f>
        <v>North</v>
      </c>
    </row>
    <row r="335" spans="1:11" x14ac:dyDescent="0.3">
      <c r="A335" s="2">
        <v>336</v>
      </c>
      <c r="B335" t="s">
        <v>14</v>
      </c>
      <c r="C335" t="s">
        <v>17</v>
      </c>
      <c r="D335" s="4">
        <v>55.823959600000002</v>
      </c>
      <c r="E335" s="4">
        <v>380.1716614</v>
      </c>
      <c r="F335" s="4">
        <v>601.75744640000005</v>
      </c>
      <c r="G335" s="4">
        <v>182.941271</v>
      </c>
      <c r="H335" s="4">
        <v>28.115811600000001</v>
      </c>
      <c r="I335" t="s">
        <v>18</v>
      </c>
      <c r="J335" s="1">
        <v>45262</v>
      </c>
      <c r="K335" s="4" t="str">
        <f>TRIM(CLEAN(Table1[[#This Row],[Region]]))</f>
        <v>North</v>
      </c>
    </row>
    <row r="336" spans="1:11" x14ac:dyDescent="0.3">
      <c r="A336" s="2">
        <v>337</v>
      </c>
      <c r="B336" t="s">
        <v>13</v>
      </c>
      <c r="C336" t="s">
        <v>15</v>
      </c>
      <c r="D336" s="4">
        <v>39.294056619999999</v>
      </c>
      <c r="E336" s="4">
        <v>586.35966589999998</v>
      </c>
      <c r="F336" s="4">
        <v>381.87414289999998</v>
      </c>
      <c r="G336" s="4">
        <v>171.6744502</v>
      </c>
      <c r="H336" s="4">
        <v>35.565891469999997</v>
      </c>
      <c r="I336" t="s">
        <v>20</v>
      </c>
      <c r="J336" s="1">
        <v>45263</v>
      </c>
      <c r="K336" s="4" t="str">
        <f>TRIM(CLEAN(Table1[[#This Row],[Region]]))</f>
        <v>East</v>
      </c>
    </row>
    <row r="337" spans="1:11" x14ac:dyDescent="0.3">
      <c r="A337" s="2">
        <v>338</v>
      </c>
      <c r="B337" t="s">
        <v>20</v>
      </c>
      <c r="C337" t="s">
        <v>17</v>
      </c>
      <c r="D337" s="4">
        <v>41.102538979999999</v>
      </c>
      <c r="E337" s="4">
        <v>557.96432289999996</v>
      </c>
      <c r="F337" s="4">
        <v>284.0876705</v>
      </c>
      <c r="G337" s="4">
        <v>143.99082809999999</v>
      </c>
      <c r="H337" s="4">
        <v>24.5344622</v>
      </c>
      <c r="I337" t="s">
        <v>18</v>
      </c>
      <c r="J337" s="1">
        <v>45264</v>
      </c>
      <c r="K337" s="4" t="str">
        <f>TRIM(CLEAN(Table1[[#This Row],[Region]]))</f>
        <v>Unknown</v>
      </c>
    </row>
    <row r="338" spans="1:11" x14ac:dyDescent="0.3">
      <c r="A338" s="2">
        <v>339</v>
      </c>
      <c r="B338" t="s">
        <v>14</v>
      </c>
      <c r="C338" t="s">
        <v>17</v>
      </c>
      <c r="D338" s="4">
        <v>50.539879999999997</v>
      </c>
      <c r="E338" s="4">
        <v>503.25760000000002</v>
      </c>
      <c r="F338" s="4">
        <v>624.71472210000002</v>
      </c>
      <c r="G338" s="4">
        <v>240.72124489999999</v>
      </c>
      <c r="H338" s="4">
        <v>33.04914539</v>
      </c>
      <c r="I338" t="s">
        <v>16</v>
      </c>
      <c r="J338" s="1">
        <v>45265</v>
      </c>
      <c r="K338" s="4" t="str">
        <f>TRIM(CLEAN(Table1[[#This Row],[Region]]))</f>
        <v>North</v>
      </c>
    </row>
    <row r="339" spans="1:11" x14ac:dyDescent="0.3">
      <c r="A339" s="2">
        <v>340</v>
      </c>
      <c r="B339" t="s">
        <v>14</v>
      </c>
      <c r="C339" t="s">
        <v>17</v>
      </c>
      <c r="D339" s="4">
        <v>47.611192520000003</v>
      </c>
      <c r="E339" s="4">
        <v>386.45391059999997</v>
      </c>
      <c r="F339" s="4">
        <v>617.02238939999995</v>
      </c>
      <c r="G339" s="4">
        <v>309.28558320000002</v>
      </c>
      <c r="H339" s="4">
        <v>19.601833589999998</v>
      </c>
      <c r="I339" t="s">
        <v>20</v>
      </c>
      <c r="J339" s="1">
        <v>45266</v>
      </c>
      <c r="K339" s="4" t="str">
        <f>TRIM(CLEAN(Table1[[#This Row],[Region]]))</f>
        <v>North</v>
      </c>
    </row>
    <row r="340" spans="1:11" x14ac:dyDescent="0.3">
      <c r="A340" s="2">
        <v>342</v>
      </c>
      <c r="B340" t="s">
        <v>13</v>
      </c>
      <c r="C340" t="s">
        <v>19</v>
      </c>
      <c r="D340" s="4">
        <v>57.080891219999998</v>
      </c>
      <c r="E340" s="4">
        <v>327.98974490000001</v>
      </c>
      <c r="F340" s="4">
        <v>432.1081375</v>
      </c>
      <c r="G340" s="4">
        <v>165.97520280000001</v>
      </c>
      <c r="H340" s="4">
        <v>24.602247940000002</v>
      </c>
      <c r="I340" t="s">
        <v>20</v>
      </c>
      <c r="J340" s="1">
        <v>45268</v>
      </c>
      <c r="K340" s="4" t="str">
        <f>TRIM(CLEAN(Table1[[#This Row],[Region]]))</f>
        <v>East</v>
      </c>
    </row>
    <row r="341" spans="1:11" x14ac:dyDescent="0.3">
      <c r="A341" s="2">
        <v>343</v>
      </c>
      <c r="B341" t="s">
        <v>13</v>
      </c>
      <c r="C341" t="s">
        <v>19</v>
      </c>
      <c r="D341" s="4">
        <v>41.519013010000002</v>
      </c>
      <c r="E341" s="4">
        <v>440.15740649999998</v>
      </c>
      <c r="F341" s="4">
        <v>369.96869459999999</v>
      </c>
      <c r="G341" s="4">
        <v>162.73382580000001</v>
      </c>
      <c r="H341" s="4">
        <v>31.384972600000001</v>
      </c>
      <c r="I341" t="s">
        <v>20</v>
      </c>
      <c r="J341" s="1">
        <v>45269</v>
      </c>
      <c r="K341" s="4" t="str">
        <f>TRIM(CLEAN(Table1[[#This Row],[Region]]))</f>
        <v>East</v>
      </c>
    </row>
    <row r="342" spans="1:11" x14ac:dyDescent="0.3">
      <c r="A342" s="2">
        <v>344</v>
      </c>
      <c r="B342" t="s">
        <v>10</v>
      </c>
      <c r="C342" t="s">
        <v>11</v>
      </c>
      <c r="D342" s="4">
        <v>33.989807020000001</v>
      </c>
      <c r="E342" s="4">
        <v>522.85765279999998</v>
      </c>
      <c r="F342" s="4">
        <v>519.19490610000003</v>
      </c>
      <c r="G342" s="4">
        <v>166.0133386</v>
      </c>
      <c r="H342" s="4">
        <v>36.786702329999997</v>
      </c>
      <c r="I342" t="s">
        <v>16</v>
      </c>
      <c r="J342" s="1">
        <v>45270</v>
      </c>
      <c r="K342" s="4" t="str">
        <f>TRIM(CLEAN(Table1[[#This Row],[Region]]))</f>
        <v>West</v>
      </c>
    </row>
    <row r="343" spans="1:11" x14ac:dyDescent="0.3">
      <c r="A343" s="2">
        <v>345</v>
      </c>
      <c r="B343" t="s">
        <v>21</v>
      </c>
      <c r="C343" t="s">
        <v>19</v>
      </c>
      <c r="D343" s="4">
        <v>71.557431629999996</v>
      </c>
      <c r="E343" s="4">
        <v>680.2164808</v>
      </c>
      <c r="F343" s="4">
        <v>687.84591499999999</v>
      </c>
      <c r="G343" s="4">
        <v>282.48918429999998</v>
      </c>
      <c r="H343" s="4">
        <v>29.664100000000001</v>
      </c>
      <c r="I343" t="s">
        <v>16</v>
      </c>
      <c r="J343" s="1">
        <v>45271</v>
      </c>
      <c r="K343" s="4" t="str">
        <f>TRIM(CLEAN(Table1[[#This Row],[Region]]))</f>
        <v>South</v>
      </c>
    </row>
    <row r="344" spans="1:11" x14ac:dyDescent="0.3">
      <c r="A344" s="2">
        <v>346</v>
      </c>
      <c r="B344" t="s">
        <v>14</v>
      </c>
      <c r="C344" t="s">
        <v>17</v>
      </c>
      <c r="D344" s="4">
        <v>38.685469789999999</v>
      </c>
      <c r="E344" s="4">
        <v>538.31002120000005</v>
      </c>
      <c r="F344" s="4">
        <v>564.34581579999997</v>
      </c>
      <c r="G344" s="4">
        <v>164.075974</v>
      </c>
      <c r="H344" s="4">
        <v>36.121908349999998</v>
      </c>
      <c r="I344" t="s">
        <v>16</v>
      </c>
      <c r="J344" s="1">
        <v>45272</v>
      </c>
      <c r="K344" s="4" t="str">
        <f>TRIM(CLEAN(Table1[[#This Row],[Region]]))</f>
        <v>North</v>
      </c>
    </row>
    <row r="345" spans="1:11" x14ac:dyDescent="0.3">
      <c r="A345" s="2">
        <v>347</v>
      </c>
      <c r="B345" t="s">
        <v>10</v>
      </c>
      <c r="C345" t="s">
        <v>11</v>
      </c>
      <c r="D345" s="4">
        <v>58.363237230000003</v>
      </c>
      <c r="E345" s="4">
        <v>548.03046529999995</v>
      </c>
      <c r="F345" s="4">
        <v>604.2869571</v>
      </c>
      <c r="G345" s="4">
        <v>170.73666</v>
      </c>
      <c r="H345" s="4">
        <v>35.604242220000003</v>
      </c>
      <c r="I345" t="s">
        <v>16</v>
      </c>
      <c r="J345" s="1">
        <v>45273</v>
      </c>
      <c r="K345" s="4" t="str">
        <f>TRIM(CLEAN(Table1[[#This Row],[Region]]))</f>
        <v>West</v>
      </c>
    </row>
    <row r="346" spans="1:11" x14ac:dyDescent="0.3">
      <c r="A346" s="2">
        <v>348</v>
      </c>
      <c r="B346" t="s">
        <v>13</v>
      </c>
      <c r="C346" t="s">
        <v>19</v>
      </c>
      <c r="D346" s="4">
        <v>50.312668770000002</v>
      </c>
      <c r="E346" s="4">
        <v>443.06162999999998</v>
      </c>
      <c r="F346" s="4">
        <v>578.36739980000004</v>
      </c>
      <c r="G346" s="4">
        <v>137.98228739999999</v>
      </c>
      <c r="H346" s="4">
        <v>27.378586290000001</v>
      </c>
      <c r="I346" t="s">
        <v>18</v>
      </c>
      <c r="J346" s="1">
        <v>45274</v>
      </c>
      <c r="K346" s="4" t="str">
        <f>TRIM(CLEAN(Table1[[#This Row],[Region]]))</f>
        <v>East</v>
      </c>
    </row>
    <row r="347" spans="1:11" x14ac:dyDescent="0.3">
      <c r="A347" s="2">
        <v>349</v>
      </c>
      <c r="B347" t="s">
        <v>14</v>
      </c>
      <c r="C347" t="s">
        <v>20</v>
      </c>
      <c r="D347" s="4">
        <v>52.513056409999997</v>
      </c>
      <c r="E347" s="4">
        <v>556.84802249999996</v>
      </c>
      <c r="F347" s="4">
        <v>479.98570219999999</v>
      </c>
      <c r="G347" s="4">
        <v>214.68243870000001</v>
      </c>
      <c r="H347" s="4">
        <v>32.991650870000001</v>
      </c>
      <c r="I347" t="s">
        <v>18</v>
      </c>
      <c r="J347" s="1">
        <v>45275</v>
      </c>
      <c r="K347" s="4" t="str">
        <f>TRIM(CLEAN(Table1[[#This Row],[Region]]))</f>
        <v>North</v>
      </c>
    </row>
    <row r="348" spans="1:11" x14ac:dyDescent="0.3">
      <c r="A348" s="2">
        <v>350</v>
      </c>
      <c r="B348" t="s">
        <v>10</v>
      </c>
      <c r="C348" t="s">
        <v>15</v>
      </c>
      <c r="D348" s="4">
        <v>49.984494939999998</v>
      </c>
      <c r="E348" s="4">
        <v>510.53093209999997</v>
      </c>
      <c r="F348" s="4">
        <v>610.00085249999995</v>
      </c>
      <c r="G348" s="4">
        <v>196.6385219</v>
      </c>
      <c r="H348" s="4">
        <v>21.375415520000001</v>
      </c>
      <c r="I348" t="s">
        <v>16</v>
      </c>
      <c r="J348" s="1">
        <v>45276</v>
      </c>
      <c r="K348" s="4" t="str">
        <f>TRIM(CLEAN(Table1[[#This Row],[Region]]))</f>
        <v>West</v>
      </c>
    </row>
    <row r="349" spans="1:11" x14ac:dyDescent="0.3">
      <c r="A349" s="2">
        <v>351</v>
      </c>
      <c r="B349" t="s">
        <v>21</v>
      </c>
      <c r="C349" t="s">
        <v>19</v>
      </c>
      <c r="D349" s="4">
        <v>46.151581180000001</v>
      </c>
      <c r="E349" s="4">
        <v>341.15354600000001</v>
      </c>
      <c r="F349" s="4">
        <v>569.40366749999998</v>
      </c>
      <c r="G349" s="4">
        <v>143.1410612</v>
      </c>
      <c r="H349" s="4">
        <v>26.565317910000001</v>
      </c>
      <c r="I349" t="s">
        <v>18</v>
      </c>
      <c r="J349" s="1">
        <v>45277</v>
      </c>
      <c r="K349" s="4" t="str">
        <f>TRIM(CLEAN(Table1[[#This Row],[Region]]))</f>
        <v>South</v>
      </c>
    </row>
    <row r="350" spans="1:11" x14ac:dyDescent="0.3">
      <c r="A350" s="2">
        <v>352</v>
      </c>
      <c r="B350" t="s">
        <v>10</v>
      </c>
      <c r="C350" t="s">
        <v>20</v>
      </c>
      <c r="D350" s="4">
        <v>54.639722829999997</v>
      </c>
      <c r="E350" s="4">
        <v>579.29348530000004</v>
      </c>
      <c r="F350" s="4">
        <v>652.73348580000004</v>
      </c>
      <c r="G350" s="4">
        <v>155.35852009999999</v>
      </c>
      <c r="H350" s="4">
        <v>36.963274439999999</v>
      </c>
      <c r="I350" t="s">
        <v>18</v>
      </c>
      <c r="J350" s="1">
        <v>45278</v>
      </c>
      <c r="K350" s="4" t="str">
        <f>TRIM(CLEAN(Table1[[#This Row],[Region]]))</f>
        <v>West</v>
      </c>
    </row>
    <row r="351" spans="1:11" x14ac:dyDescent="0.3">
      <c r="A351" s="2">
        <v>353</v>
      </c>
      <c r="B351" t="s">
        <v>21</v>
      </c>
      <c r="C351" t="s">
        <v>19</v>
      </c>
      <c r="D351" s="4">
        <v>45.614127940000003</v>
      </c>
      <c r="E351" s="4">
        <v>597.03933900000004</v>
      </c>
      <c r="F351" s="4">
        <v>424.85412710000003</v>
      </c>
      <c r="G351" s="4">
        <v>276.64666849999998</v>
      </c>
      <c r="H351" s="4">
        <v>28.074815990000001</v>
      </c>
      <c r="I351" t="s">
        <v>18</v>
      </c>
      <c r="J351" s="1">
        <v>45279</v>
      </c>
      <c r="K351" s="4" t="str">
        <f>TRIM(CLEAN(Table1[[#This Row],[Region]]))</f>
        <v>South</v>
      </c>
    </row>
    <row r="352" spans="1:11" x14ac:dyDescent="0.3">
      <c r="A352" s="2">
        <v>354</v>
      </c>
      <c r="B352" t="s">
        <v>13</v>
      </c>
      <c r="C352" t="s">
        <v>20</v>
      </c>
      <c r="D352" s="4">
        <v>61.663027470000003</v>
      </c>
      <c r="E352" s="4">
        <v>580.33650490000002</v>
      </c>
      <c r="F352" s="4">
        <v>271.42660330000001</v>
      </c>
      <c r="G352" s="4">
        <v>201.63538779999999</v>
      </c>
      <c r="H352" s="4">
        <v>20.659990570000001</v>
      </c>
      <c r="I352" t="s">
        <v>16</v>
      </c>
      <c r="J352" s="1">
        <v>45280</v>
      </c>
      <c r="K352" s="4" t="str">
        <f>TRIM(CLEAN(Table1[[#This Row],[Region]]))</f>
        <v>East</v>
      </c>
    </row>
    <row r="353" spans="1:11" x14ac:dyDescent="0.3">
      <c r="A353" s="2">
        <v>355</v>
      </c>
      <c r="B353" t="s">
        <v>21</v>
      </c>
      <c r="C353" t="s">
        <v>15</v>
      </c>
      <c r="D353" s="4">
        <v>55.684410059999998</v>
      </c>
      <c r="E353" s="4">
        <v>503.3327926</v>
      </c>
      <c r="F353" s="4">
        <v>605.43012180000005</v>
      </c>
      <c r="G353" s="4">
        <v>205.08426979999999</v>
      </c>
      <c r="H353" s="4">
        <v>40.06849459</v>
      </c>
      <c r="I353" t="s">
        <v>16</v>
      </c>
      <c r="J353" s="1">
        <v>45281</v>
      </c>
      <c r="K353" s="4" t="str">
        <f>TRIM(CLEAN(Table1[[#This Row],[Region]]))</f>
        <v>South</v>
      </c>
    </row>
    <row r="354" spans="1:11" x14ac:dyDescent="0.3">
      <c r="A354" s="2">
        <v>356</v>
      </c>
      <c r="B354" t="s">
        <v>14</v>
      </c>
      <c r="C354" t="s">
        <v>19</v>
      </c>
      <c r="D354" s="4">
        <v>55.995941129999999</v>
      </c>
      <c r="E354" s="4">
        <v>404.3823117</v>
      </c>
      <c r="F354" s="4">
        <v>521.97234249999997</v>
      </c>
      <c r="G354" s="4">
        <v>205.28269130000001</v>
      </c>
      <c r="H354" s="4">
        <v>32.811251419999998</v>
      </c>
      <c r="I354" t="s">
        <v>18</v>
      </c>
      <c r="J354" s="1">
        <v>45282</v>
      </c>
      <c r="K354" s="4" t="str">
        <f>TRIM(CLEAN(Table1[[#This Row],[Region]]))</f>
        <v>North</v>
      </c>
    </row>
    <row r="355" spans="1:11" x14ac:dyDescent="0.3">
      <c r="A355" s="2">
        <v>357</v>
      </c>
      <c r="B355" t="s">
        <v>13</v>
      </c>
      <c r="C355" t="s">
        <v>20</v>
      </c>
      <c r="D355" s="4">
        <v>44.9287694</v>
      </c>
      <c r="E355" s="4">
        <v>269.0816269</v>
      </c>
      <c r="F355" s="4">
        <v>444.474468</v>
      </c>
      <c r="G355" s="4">
        <v>269.73126939999997</v>
      </c>
      <c r="H355" s="4">
        <v>33.822391099999997</v>
      </c>
      <c r="I355" t="s">
        <v>18</v>
      </c>
      <c r="J355" s="1">
        <v>45283</v>
      </c>
      <c r="K355" s="4" t="str">
        <f>TRIM(CLEAN(Table1[[#This Row],[Region]]))</f>
        <v>East</v>
      </c>
    </row>
    <row r="356" spans="1:11" x14ac:dyDescent="0.3">
      <c r="A356" s="2">
        <v>358</v>
      </c>
      <c r="B356" t="s">
        <v>14</v>
      </c>
      <c r="C356" t="s">
        <v>19</v>
      </c>
      <c r="D356" s="4">
        <v>47.636452630000001</v>
      </c>
      <c r="E356" s="4">
        <v>515.70536049999998</v>
      </c>
      <c r="F356" s="4">
        <v>451.18166250000002</v>
      </c>
      <c r="G356" s="4">
        <v>147.73928190000001</v>
      </c>
      <c r="H356" s="4">
        <v>25.097652329999999</v>
      </c>
      <c r="I356" t="s">
        <v>20</v>
      </c>
      <c r="J356" s="1">
        <v>45284</v>
      </c>
      <c r="K356" s="4" t="str">
        <f>TRIM(CLEAN(Table1[[#This Row],[Region]]))</f>
        <v>North</v>
      </c>
    </row>
    <row r="357" spans="1:11" x14ac:dyDescent="0.3">
      <c r="A357" s="2">
        <v>359</v>
      </c>
      <c r="B357" t="s">
        <v>14</v>
      </c>
      <c r="C357" t="s">
        <v>19</v>
      </c>
      <c r="D357" s="4">
        <v>38.120871909999998</v>
      </c>
      <c r="E357" s="4">
        <v>608.19420600000001</v>
      </c>
      <c r="F357" s="4">
        <v>786.56235909999998</v>
      </c>
      <c r="G357" s="4">
        <v>180.18022400000001</v>
      </c>
      <c r="H357" s="4">
        <v>31.42028285</v>
      </c>
      <c r="I357" t="s">
        <v>18</v>
      </c>
      <c r="J357" s="1">
        <v>45285</v>
      </c>
      <c r="K357" s="4" t="str">
        <f>TRIM(CLEAN(Table1[[#This Row],[Region]]))</f>
        <v>North</v>
      </c>
    </row>
    <row r="358" spans="1:11" x14ac:dyDescent="0.3">
      <c r="A358" s="2">
        <v>360</v>
      </c>
      <c r="B358" t="s">
        <v>12</v>
      </c>
      <c r="C358" t="s">
        <v>11</v>
      </c>
      <c r="D358" s="4">
        <v>46.46983943</v>
      </c>
      <c r="E358" s="4">
        <v>599.55324689999998</v>
      </c>
      <c r="F358" s="4">
        <v>402.9366417</v>
      </c>
      <c r="G358" s="4">
        <v>191.55173970000001</v>
      </c>
      <c r="H358" s="4">
        <v>31.287874850000001</v>
      </c>
      <c r="I358" t="s">
        <v>16</v>
      </c>
      <c r="J358" s="1">
        <v>45286</v>
      </c>
      <c r="K358" s="4" t="str">
        <f>TRIM(CLEAN(Table1[[#This Row],[Region]]))</f>
        <v>South</v>
      </c>
    </row>
    <row r="359" spans="1:11" x14ac:dyDescent="0.3">
      <c r="A359" s="2">
        <v>361</v>
      </c>
      <c r="B359" t="s">
        <v>21</v>
      </c>
      <c r="C359" t="s">
        <v>20</v>
      </c>
      <c r="D359" s="4">
        <v>39.634240839999997</v>
      </c>
      <c r="E359" s="4">
        <v>581.60728429999995</v>
      </c>
      <c r="F359" s="4">
        <v>377.60360320000001</v>
      </c>
      <c r="G359" s="4">
        <v>113.9412087</v>
      </c>
      <c r="H359" s="4">
        <v>25.89257572</v>
      </c>
      <c r="I359" t="s">
        <v>16</v>
      </c>
      <c r="J359" s="1">
        <v>45287</v>
      </c>
      <c r="K359" s="4" t="str">
        <f>TRIM(CLEAN(Table1[[#This Row],[Region]]))</f>
        <v>South</v>
      </c>
    </row>
    <row r="360" spans="1:11" x14ac:dyDescent="0.3">
      <c r="A360" s="2">
        <v>362</v>
      </c>
      <c r="B360" t="s">
        <v>12</v>
      </c>
      <c r="C360" t="s">
        <v>17</v>
      </c>
      <c r="D360" s="4">
        <v>63.130685159999999</v>
      </c>
      <c r="E360" s="4">
        <v>492.57890209999999</v>
      </c>
      <c r="F360" s="4">
        <v>490.23410799999999</v>
      </c>
      <c r="G360" s="4">
        <v>154.19292419999999</v>
      </c>
      <c r="H360" s="4">
        <v>29.150901569999998</v>
      </c>
      <c r="I360" t="s">
        <v>18</v>
      </c>
      <c r="J360" s="1">
        <v>45288</v>
      </c>
      <c r="K360" s="4" t="str">
        <f>TRIM(CLEAN(Table1[[#This Row],[Region]]))</f>
        <v>South</v>
      </c>
    </row>
    <row r="361" spans="1:11" x14ac:dyDescent="0.3">
      <c r="A361" s="2">
        <v>363</v>
      </c>
      <c r="B361" t="s">
        <v>12</v>
      </c>
      <c r="C361" t="s">
        <v>20</v>
      </c>
      <c r="D361" s="4">
        <v>50.50535816</v>
      </c>
      <c r="E361" s="4">
        <v>608.74641740000004</v>
      </c>
      <c r="F361" s="4">
        <v>621.65890539999998</v>
      </c>
      <c r="G361" s="4">
        <v>252.33374140000001</v>
      </c>
      <c r="H361" s="4">
        <v>22.497661440000002</v>
      </c>
      <c r="I361" t="s">
        <v>20</v>
      </c>
      <c r="J361" s="1">
        <v>45289</v>
      </c>
      <c r="K361" s="4" t="str">
        <f>TRIM(CLEAN(Table1[[#This Row],[Region]]))</f>
        <v>South</v>
      </c>
    </row>
    <row r="362" spans="1:11" x14ac:dyDescent="0.3">
      <c r="A362" s="2">
        <v>364</v>
      </c>
      <c r="B362" t="s">
        <v>21</v>
      </c>
      <c r="C362" t="s">
        <v>19</v>
      </c>
      <c r="D362" s="4">
        <v>51.704972349999998</v>
      </c>
      <c r="E362" s="4">
        <v>592.41618240000003</v>
      </c>
      <c r="F362" s="4">
        <v>753.40823839999996</v>
      </c>
      <c r="G362" s="4">
        <v>238.0106748</v>
      </c>
      <c r="H362" s="4">
        <v>28.266452340000001</v>
      </c>
      <c r="I362" t="s">
        <v>18</v>
      </c>
      <c r="J362" s="1">
        <v>45290</v>
      </c>
      <c r="K362" s="4" t="str">
        <f>TRIM(CLEAN(Table1[[#This Row],[Region]]))</f>
        <v>South</v>
      </c>
    </row>
    <row r="363" spans="1:11" x14ac:dyDescent="0.3">
      <c r="A363" s="2">
        <v>365</v>
      </c>
      <c r="B363" t="s">
        <v>13</v>
      </c>
      <c r="C363" t="s">
        <v>19</v>
      </c>
      <c r="D363" s="4">
        <v>47.748534730000003</v>
      </c>
      <c r="E363" s="4">
        <v>457.73664389999999</v>
      </c>
      <c r="F363" s="4">
        <v>558.88379559999998</v>
      </c>
      <c r="G363" s="4">
        <v>246.8533438</v>
      </c>
      <c r="H363" s="4">
        <v>34.869231290000002</v>
      </c>
      <c r="I363" t="s">
        <v>18</v>
      </c>
      <c r="J363" s="1">
        <v>45291</v>
      </c>
      <c r="K363" s="4" t="str">
        <f>TRIM(CLEAN(Table1[[#This Row],[Region]]))</f>
        <v>East</v>
      </c>
    </row>
    <row r="364" spans="1:11" x14ac:dyDescent="0.3">
      <c r="A364" s="2">
        <v>366</v>
      </c>
      <c r="B364" t="s">
        <v>14</v>
      </c>
      <c r="C364" t="s">
        <v>20</v>
      </c>
      <c r="D364" s="4">
        <v>51.975789220000003</v>
      </c>
      <c r="E364" s="4">
        <v>567.6598017</v>
      </c>
      <c r="F364" s="4">
        <v>327.55095069999999</v>
      </c>
      <c r="G364" s="4">
        <v>170.54548890000001</v>
      </c>
      <c r="H364" s="4">
        <v>26.26575871</v>
      </c>
      <c r="I364" t="s">
        <v>16</v>
      </c>
      <c r="J364" s="1">
        <v>45292</v>
      </c>
      <c r="K364" s="4" t="str">
        <f>TRIM(CLEAN(Table1[[#This Row],[Region]]))</f>
        <v>North</v>
      </c>
    </row>
    <row r="365" spans="1:11" x14ac:dyDescent="0.3">
      <c r="A365" s="2">
        <v>367</v>
      </c>
      <c r="B365" t="s">
        <v>14</v>
      </c>
      <c r="C365" t="s">
        <v>15</v>
      </c>
      <c r="D365" s="4">
        <v>74.648776359999999</v>
      </c>
      <c r="E365" s="4">
        <v>446.40408550000001</v>
      </c>
      <c r="F365" s="4">
        <v>716.50371250000001</v>
      </c>
      <c r="G365" s="4">
        <v>176.715238</v>
      </c>
      <c r="H365" s="4">
        <v>39.536489179999997</v>
      </c>
      <c r="I365" t="s">
        <v>18</v>
      </c>
      <c r="J365" s="1">
        <v>45293</v>
      </c>
      <c r="K365" s="4" t="str">
        <f>TRIM(CLEAN(Table1[[#This Row],[Region]]))</f>
        <v>North</v>
      </c>
    </row>
    <row r="366" spans="1:11" x14ac:dyDescent="0.3">
      <c r="A366" s="2">
        <v>368</v>
      </c>
      <c r="B366" t="s">
        <v>10</v>
      </c>
      <c r="C366" t="s">
        <v>19</v>
      </c>
      <c r="D366" s="4">
        <v>46.998597160000003</v>
      </c>
      <c r="E366" s="4">
        <v>554.00242319999995</v>
      </c>
      <c r="F366" s="4">
        <v>477.6637561</v>
      </c>
      <c r="G366" s="4">
        <v>110.59672519999999</v>
      </c>
      <c r="H366" s="4">
        <v>22.819542439999999</v>
      </c>
      <c r="I366" t="s">
        <v>16</v>
      </c>
      <c r="J366" s="1">
        <v>45294</v>
      </c>
      <c r="K366" s="4" t="str">
        <f>TRIM(CLEAN(Table1[[#This Row],[Region]]))</f>
        <v>West</v>
      </c>
    </row>
    <row r="367" spans="1:11" x14ac:dyDescent="0.3">
      <c r="A367" s="2">
        <v>370</v>
      </c>
      <c r="B367" t="s">
        <v>10</v>
      </c>
      <c r="C367" t="s">
        <v>19</v>
      </c>
      <c r="D367" s="4">
        <v>55.29693133</v>
      </c>
      <c r="E367" s="4">
        <v>377.77881910000002</v>
      </c>
      <c r="F367" s="4">
        <v>480.48430000000002</v>
      </c>
      <c r="G367" s="4">
        <v>254.83261340000001</v>
      </c>
      <c r="H367" s="4">
        <v>26.717850179999999</v>
      </c>
      <c r="I367" t="s">
        <v>20</v>
      </c>
      <c r="J367" s="1">
        <v>45296</v>
      </c>
      <c r="K367" s="4" t="str">
        <f>TRIM(CLEAN(Table1[[#This Row],[Region]]))</f>
        <v>West</v>
      </c>
    </row>
    <row r="368" spans="1:11" x14ac:dyDescent="0.3">
      <c r="A368" s="2">
        <v>371</v>
      </c>
      <c r="B368" t="s">
        <v>14</v>
      </c>
      <c r="C368" t="s">
        <v>19</v>
      </c>
      <c r="D368" s="4">
        <v>24.742813659999999</v>
      </c>
      <c r="E368" s="4">
        <v>605.82070469999996</v>
      </c>
      <c r="F368" s="4">
        <v>580.35944629999995</v>
      </c>
      <c r="G368" s="4">
        <v>254.1960483</v>
      </c>
      <c r="H368" s="4">
        <v>29.09909584</v>
      </c>
      <c r="I368" t="s">
        <v>18</v>
      </c>
      <c r="J368" s="1">
        <v>45297</v>
      </c>
      <c r="K368" s="4" t="str">
        <f>TRIM(CLEAN(Table1[[#This Row],[Region]]))</f>
        <v>North</v>
      </c>
    </row>
    <row r="369" spans="1:11" x14ac:dyDescent="0.3">
      <c r="A369" s="2">
        <v>372</v>
      </c>
      <c r="B369" t="s">
        <v>21</v>
      </c>
      <c r="C369" t="s">
        <v>11</v>
      </c>
      <c r="D369" s="4">
        <v>50.63956787</v>
      </c>
      <c r="E369" s="4">
        <v>593.75601219999999</v>
      </c>
      <c r="F369" s="4">
        <v>508.65952629999998</v>
      </c>
      <c r="G369" s="4">
        <v>280.2045627</v>
      </c>
      <c r="H369" s="4">
        <v>29.664100000000001</v>
      </c>
      <c r="I369" t="s">
        <v>16</v>
      </c>
      <c r="J369" s="1">
        <v>45298</v>
      </c>
      <c r="K369" s="4" t="str">
        <f>TRIM(CLEAN(Table1[[#This Row],[Region]]))</f>
        <v>South</v>
      </c>
    </row>
    <row r="370" spans="1:11" x14ac:dyDescent="0.3">
      <c r="A370" s="2">
        <v>373</v>
      </c>
      <c r="B370" t="s">
        <v>14</v>
      </c>
      <c r="C370" t="s">
        <v>17</v>
      </c>
      <c r="D370" s="4">
        <v>46.282870969999998</v>
      </c>
      <c r="E370" s="4">
        <v>563.36115410000002</v>
      </c>
      <c r="F370" s="4">
        <v>521.40904520000004</v>
      </c>
      <c r="G370" s="4">
        <v>221.1054297</v>
      </c>
      <c r="H370" s="4">
        <v>25.077722519999998</v>
      </c>
      <c r="I370" t="s">
        <v>18</v>
      </c>
      <c r="J370" s="1">
        <v>45299</v>
      </c>
      <c r="K370" s="4" t="str">
        <f>TRIM(CLEAN(Table1[[#This Row],[Region]]))</f>
        <v>North</v>
      </c>
    </row>
    <row r="371" spans="1:11" x14ac:dyDescent="0.3">
      <c r="A371" s="2">
        <v>374</v>
      </c>
      <c r="B371" t="s">
        <v>10</v>
      </c>
      <c r="C371" t="s">
        <v>19</v>
      </c>
      <c r="D371" s="4">
        <v>40.07686734</v>
      </c>
      <c r="E371" s="4">
        <v>508.7968821</v>
      </c>
      <c r="F371" s="4">
        <v>634.38037429999997</v>
      </c>
      <c r="G371" s="4">
        <v>277.8440918</v>
      </c>
      <c r="H371" s="4">
        <v>27.74364735</v>
      </c>
      <c r="I371" t="s">
        <v>18</v>
      </c>
      <c r="J371" s="1">
        <v>45300</v>
      </c>
      <c r="K371" s="4" t="str">
        <f>TRIM(CLEAN(Table1[[#This Row],[Region]]))</f>
        <v>West</v>
      </c>
    </row>
    <row r="372" spans="1:11" x14ac:dyDescent="0.3">
      <c r="A372" s="2">
        <v>375</v>
      </c>
      <c r="B372" t="s">
        <v>20</v>
      </c>
      <c r="C372" t="s">
        <v>19</v>
      </c>
      <c r="D372" s="4">
        <v>55.077576700000002</v>
      </c>
      <c r="E372" s="4">
        <v>260.87255690000001</v>
      </c>
      <c r="F372" s="4">
        <v>383.74144899999999</v>
      </c>
      <c r="G372" s="4">
        <v>189.9762695</v>
      </c>
      <c r="H372" s="4">
        <v>33.27252876</v>
      </c>
      <c r="I372" t="s">
        <v>20</v>
      </c>
      <c r="J372" s="1">
        <v>45301</v>
      </c>
      <c r="K372" s="4" t="str">
        <f>TRIM(CLEAN(Table1[[#This Row],[Region]]))</f>
        <v>Unknown</v>
      </c>
    </row>
    <row r="373" spans="1:11" x14ac:dyDescent="0.3">
      <c r="A373" s="2">
        <v>376</v>
      </c>
      <c r="B373" t="s">
        <v>13</v>
      </c>
      <c r="C373" t="s">
        <v>11</v>
      </c>
      <c r="D373" s="4">
        <v>50.539884180000001</v>
      </c>
      <c r="E373" s="4">
        <v>492.51240619999999</v>
      </c>
      <c r="F373" s="4">
        <v>643.93855540000004</v>
      </c>
      <c r="G373" s="4">
        <v>111.6494817</v>
      </c>
      <c r="H373" s="4">
        <v>30.465793900000001</v>
      </c>
      <c r="I373" t="s">
        <v>16</v>
      </c>
      <c r="J373" s="1">
        <v>45302</v>
      </c>
      <c r="K373" s="4" t="str">
        <f>TRIM(CLEAN(Table1[[#This Row],[Region]]))</f>
        <v>East</v>
      </c>
    </row>
    <row r="374" spans="1:11" x14ac:dyDescent="0.3">
      <c r="A374" s="2">
        <v>377</v>
      </c>
      <c r="B374" t="s">
        <v>14</v>
      </c>
      <c r="C374" t="s">
        <v>19</v>
      </c>
      <c r="D374" s="4">
        <v>31.975910930000001</v>
      </c>
      <c r="E374" s="4">
        <v>545.41831669999999</v>
      </c>
      <c r="F374" s="4">
        <v>417.70112130000001</v>
      </c>
      <c r="G374" s="4">
        <v>243.03623390000001</v>
      </c>
      <c r="H374" s="4">
        <v>30.875874750000001</v>
      </c>
      <c r="I374" t="s">
        <v>18</v>
      </c>
      <c r="J374" s="1">
        <v>45303</v>
      </c>
      <c r="K374" s="4" t="str">
        <f>TRIM(CLEAN(Table1[[#This Row],[Region]]))</f>
        <v>North</v>
      </c>
    </row>
    <row r="375" spans="1:11" x14ac:dyDescent="0.3">
      <c r="A375" s="2">
        <v>378</v>
      </c>
      <c r="B375" t="s">
        <v>14</v>
      </c>
      <c r="C375" t="s">
        <v>15</v>
      </c>
      <c r="D375" s="4">
        <v>43.534704789999999</v>
      </c>
      <c r="E375" s="4">
        <v>446.5266752</v>
      </c>
      <c r="F375" s="4">
        <v>739.68088490000002</v>
      </c>
      <c r="G375" s="4">
        <v>109.8055437</v>
      </c>
      <c r="H375" s="4">
        <v>25.173618300000001</v>
      </c>
      <c r="I375" t="s">
        <v>16</v>
      </c>
      <c r="J375" s="1">
        <v>45304</v>
      </c>
      <c r="K375" s="4" t="str">
        <f>TRIM(CLEAN(Table1[[#This Row],[Region]]))</f>
        <v>North</v>
      </c>
    </row>
    <row r="376" spans="1:11" x14ac:dyDescent="0.3">
      <c r="A376" s="2">
        <v>379</v>
      </c>
      <c r="B376" t="s">
        <v>10</v>
      </c>
      <c r="C376" t="s">
        <v>17</v>
      </c>
      <c r="D376" s="4">
        <v>21.117287950000001</v>
      </c>
      <c r="E376" s="4">
        <v>428.7505807</v>
      </c>
      <c r="F376" s="4">
        <v>551.84868189999997</v>
      </c>
      <c r="G376" s="4">
        <v>208.51010249999999</v>
      </c>
      <c r="H376" s="4">
        <v>29.642082640000002</v>
      </c>
      <c r="I376" t="s">
        <v>18</v>
      </c>
      <c r="J376" s="1">
        <v>45305</v>
      </c>
      <c r="K376" s="4" t="str">
        <f>TRIM(CLEAN(Table1[[#This Row],[Region]]))</f>
        <v>West</v>
      </c>
    </row>
    <row r="377" spans="1:11" x14ac:dyDescent="0.3">
      <c r="A377" s="2">
        <v>380</v>
      </c>
      <c r="B377" t="s">
        <v>13</v>
      </c>
      <c r="C377" t="s">
        <v>19</v>
      </c>
      <c r="D377" s="4">
        <v>52.932693139999998</v>
      </c>
      <c r="E377" s="4">
        <v>644.44203879999998</v>
      </c>
      <c r="F377" s="4">
        <v>369.57137640000002</v>
      </c>
      <c r="G377" s="4">
        <v>247.76619009999999</v>
      </c>
      <c r="H377" s="4">
        <v>35.657892259999997</v>
      </c>
      <c r="I377" t="s">
        <v>16</v>
      </c>
      <c r="J377" s="1">
        <v>45306</v>
      </c>
      <c r="K377" s="4" t="str">
        <f>TRIM(CLEAN(Table1[[#This Row],[Region]]))</f>
        <v>East</v>
      </c>
    </row>
    <row r="378" spans="1:11" x14ac:dyDescent="0.3">
      <c r="A378" s="2">
        <v>381</v>
      </c>
      <c r="B378" t="s">
        <v>13</v>
      </c>
      <c r="C378" t="s">
        <v>11</v>
      </c>
      <c r="D378" s="4">
        <v>52.83299418</v>
      </c>
      <c r="E378" s="4">
        <v>493.97110090000001</v>
      </c>
      <c r="F378" s="4">
        <v>236.94982999999999</v>
      </c>
      <c r="G378" s="4">
        <v>216.21293979999999</v>
      </c>
      <c r="H378" s="4">
        <v>21.952395079999999</v>
      </c>
      <c r="I378" t="s">
        <v>16</v>
      </c>
      <c r="J378" s="1">
        <v>45307</v>
      </c>
      <c r="K378" s="4" t="str">
        <f>TRIM(CLEAN(Table1[[#This Row],[Region]]))</f>
        <v>East</v>
      </c>
    </row>
    <row r="379" spans="1:11" x14ac:dyDescent="0.3">
      <c r="A379" s="2">
        <v>382</v>
      </c>
      <c r="B379" t="s">
        <v>21</v>
      </c>
      <c r="C379" t="s">
        <v>15</v>
      </c>
      <c r="D379" s="4">
        <v>42.067181060000003</v>
      </c>
      <c r="E379" s="4">
        <v>545.47951699999999</v>
      </c>
      <c r="F379" s="4">
        <v>577.07096669999999</v>
      </c>
      <c r="G379" s="4">
        <v>199.07849999999999</v>
      </c>
      <c r="H379" s="4">
        <v>26.513454249999999</v>
      </c>
      <c r="I379" t="s">
        <v>16</v>
      </c>
      <c r="J379" s="1">
        <v>45308</v>
      </c>
      <c r="K379" s="4" t="str">
        <f>TRIM(CLEAN(Table1[[#This Row],[Region]]))</f>
        <v>South</v>
      </c>
    </row>
    <row r="380" spans="1:11" x14ac:dyDescent="0.3">
      <c r="A380" s="2">
        <v>383</v>
      </c>
      <c r="B380" t="s">
        <v>20</v>
      </c>
      <c r="C380" t="s">
        <v>20</v>
      </c>
      <c r="D380" s="4">
        <v>55.401127119999998</v>
      </c>
      <c r="E380" s="4">
        <v>577.41314620000003</v>
      </c>
      <c r="F380" s="4">
        <v>435.09836689999997</v>
      </c>
      <c r="G380" s="4">
        <v>101.7035503</v>
      </c>
      <c r="H380" s="4">
        <v>20.922291850000001</v>
      </c>
      <c r="I380" t="s">
        <v>20</v>
      </c>
      <c r="J380" s="1">
        <v>45309</v>
      </c>
      <c r="K380" s="4" t="str">
        <f>TRIM(CLEAN(Table1[[#This Row],[Region]]))</f>
        <v>Unknown</v>
      </c>
    </row>
    <row r="381" spans="1:11" x14ac:dyDescent="0.3">
      <c r="A381" s="2">
        <v>384</v>
      </c>
      <c r="B381" t="s">
        <v>21</v>
      </c>
      <c r="C381" t="s">
        <v>11</v>
      </c>
      <c r="D381" s="4">
        <v>37.175013790000001</v>
      </c>
      <c r="E381" s="4">
        <v>399.85629230000001</v>
      </c>
      <c r="F381" s="4">
        <v>461.33211669999997</v>
      </c>
      <c r="G381" s="4">
        <v>195.8569664</v>
      </c>
      <c r="H381" s="4">
        <v>32.684878480000002</v>
      </c>
      <c r="I381" t="s">
        <v>18</v>
      </c>
      <c r="J381" s="1">
        <v>45310</v>
      </c>
      <c r="K381" s="4" t="str">
        <f>TRIM(CLEAN(Table1[[#This Row],[Region]]))</f>
        <v>South</v>
      </c>
    </row>
    <row r="382" spans="1:11" x14ac:dyDescent="0.3">
      <c r="A382" s="2">
        <v>385</v>
      </c>
      <c r="B382" t="s">
        <v>21</v>
      </c>
      <c r="C382" t="s">
        <v>11</v>
      </c>
      <c r="D382" s="4">
        <v>40.334829740000004</v>
      </c>
      <c r="E382" s="4">
        <v>519.32074230000001</v>
      </c>
      <c r="F382" s="4">
        <v>571.9435211</v>
      </c>
      <c r="G382" s="4">
        <v>200.87277330000001</v>
      </c>
      <c r="H382" s="4">
        <v>36.127352729999998</v>
      </c>
      <c r="I382" t="s">
        <v>18</v>
      </c>
      <c r="J382" s="1">
        <v>45311</v>
      </c>
      <c r="K382" s="4" t="str">
        <f>TRIM(CLEAN(Table1[[#This Row],[Region]]))</f>
        <v>South</v>
      </c>
    </row>
    <row r="383" spans="1:11" x14ac:dyDescent="0.3">
      <c r="A383" s="2">
        <v>386</v>
      </c>
      <c r="B383" t="s">
        <v>21</v>
      </c>
      <c r="C383" t="s">
        <v>15</v>
      </c>
      <c r="D383" s="4">
        <v>54.171904640000001</v>
      </c>
      <c r="E383" s="4">
        <v>631.96444940000003</v>
      </c>
      <c r="F383" s="4">
        <v>601.2496592</v>
      </c>
      <c r="G383" s="4">
        <v>132.79485919999999</v>
      </c>
      <c r="H383" s="4">
        <v>29.082950060000002</v>
      </c>
      <c r="I383" t="s">
        <v>20</v>
      </c>
      <c r="J383" s="1">
        <v>45312</v>
      </c>
      <c r="K383" s="4" t="str">
        <f>TRIM(CLEAN(Table1[[#This Row],[Region]]))</f>
        <v>South</v>
      </c>
    </row>
    <row r="384" spans="1:11" x14ac:dyDescent="0.3">
      <c r="A384" s="2">
        <v>387</v>
      </c>
      <c r="B384" t="s">
        <v>21</v>
      </c>
      <c r="C384" t="s">
        <v>11</v>
      </c>
      <c r="D384" s="4">
        <v>43.113332450000001</v>
      </c>
      <c r="E384" s="4">
        <v>681.92231830000003</v>
      </c>
      <c r="F384" s="4">
        <v>626.84524090000002</v>
      </c>
      <c r="G384" s="4">
        <v>142.31336049999999</v>
      </c>
      <c r="H384" s="4">
        <v>24.972399930000002</v>
      </c>
      <c r="I384" t="s">
        <v>18</v>
      </c>
      <c r="J384" s="1">
        <v>45313</v>
      </c>
      <c r="K384" s="4" t="str">
        <f>TRIM(CLEAN(Table1[[#This Row],[Region]]))</f>
        <v>South</v>
      </c>
    </row>
    <row r="385" spans="1:11" x14ac:dyDescent="0.3">
      <c r="A385" s="2">
        <v>388</v>
      </c>
      <c r="B385" t="s">
        <v>21</v>
      </c>
      <c r="C385" t="s">
        <v>15</v>
      </c>
      <c r="D385" s="4">
        <v>49.37343044</v>
      </c>
      <c r="E385" s="4">
        <v>503.99363970000002</v>
      </c>
      <c r="F385" s="4">
        <v>339.01904300000001</v>
      </c>
      <c r="G385" s="4">
        <v>157.74356950000001</v>
      </c>
      <c r="H385" s="4">
        <v>25.118767739999999</v>
      </c>
      <c r="I385" t="s">
        <v>18</v>
      </c>
      <c r="J385" s="1">
        <v>45314</v>
      </c>
      <c r="K385" s="4" t="str">
        <f>TRIM(CLEAN(Table1[[#This Row],[Region]]))</f>
        <v>South</v>
      </c>
    </row>
    <row r="386" spans="1:11" x14ac:dyDescent="0.3">
      <c r="A386" s="2">
        <v>389</v>
      </c>
      <c r="B386" t="s">
        <v>14</v>
      </c>
      <c r="C386" t="s">
        <v>19</v>
      </c>
      <c r="D386" s="4">
        <v>44.363509729999997</v>
      </c>
      <c r="E386" s="4">
        <v>476.20564530000001</v>
      </c>
      <c r="F386" s="4">
        <v>651.10736999999995</v>
      </c>
      <c r="G386" s="4">
        <v>145.01763529999999</v>
      </c>
      <c r="H386" s="4">
        <v>28.514713960000002</v>
      </c>
      <c r="I386" t="s">
        <v>18</v>
      </c>
      <c r="J386" s="1">
        <v>45315</v>
      </c>
      <c r="K386" s="4" t="str">
        <f>TRIM(CLEAN(Table1[[#This Row],[Region]]))</f>
        <v>North</v>
      </c>
    </row>
    <row r="387" spans="1:11" x14ac:dyDescent="0.3">
      <c r="A387" s="2">
        <v>390</v>
      </c>
      <c r="B387" t="s">
        <v>13</v>
      </c>
      <c r="C387" t="s">
        <v>15</v>
      </c>
      <c r="D387" s="4">
        <v>45.890688439999998</v>
      </c>
      <c r="E387" s="4">
        <v>526.90240679999999</v>
      </c>
      <c r="F387" s="4">
        <v>410.51455970000001</v>
      </c>
      <c r="G387" s="4">
        <v>194.6002675</v>
      </c>
      <c r="H387" s="4">
        <v>28.49563977</v>
      </c>
      <c r="I387" t="s">
        <v>16</v>
      </c>
      <c r="J387" s="1">
        <v>45316</v>
      </c>
      <c r="K387" s="4" t="str">
        <f>TRIM(CLEAN(Table1[[#This Row],[Region]]))</f>
        <v>East</v>
      </c>
    </row>
    <row r="388" spans="1:11" x14ac:dyDescent="0.3">
      <c r="A388" s="2">
        <v>391</v>
      </c>
      <c r="B388" t="s">
        <v>21</v>
      </c>
      <c r="C388" t="s">
        <v>15</v>
      </c>
      <c r="D388" s="4">
        <v>46.327757839999997</v>
      </c>
      <c r="E388" s="4">
        <v>524.36370469999997</v>
      </c>
      <c r="F388" s="4">
        <v>209.25000779999999</v>
      </c>
      <c r="G388" s="4">
        <v>169.851755</v>
      </c>
      <c r="H388" s="4">
        <v>34.559158889999999</v>
      </c>
      <c r="I388" t="s">
        <v>20</v>
      </c>
      <c r="J388" s="1">
        <v>45317</v>
      </c>
      <c r="K388" s="4" t="str">
        <f>TRIM(CLEAN(Table1[[#This Row],[Region]]))</f>
        <v>South</v>
      </c>
    </row>
    <row r="389" spans="1:11" x14ac:dyDescent="0.3">
      <c r="A389" s="2">
        <v>392</v>
      </c>
      <c r="B389" t="s">
        <v>13</v>
      </c>
      <c r="C389" t="s">
        <v>17</v>
      </c>
      <c r="D389" s="4">
        <v>42.932432429999999</v>
      </c>
      <c r="E389" s="4">
        <v>638.67580659999999</v>
      </c>
      <c r="F389" s="4">
        <v>338.58715840000002</v>
      </c>
      <c r="G389" s="4">
        <v>215.89541919999999</v>
      </c>
      <c r="H389" s="4">
        <v>26.655619829999999</v>
      </c>
      <c r="I389" t="s">
        <v>18</v>
      </c>
      <c r="J389" s="1">
        <v>45318</v>
      </c>
      <c r="K389" s="4" t="str">
        <f>TRIM(CLEAN(Table1[[#This Row],[Region]]))</f>
        <v>East</v>
      </c>
    </row>
    <row r="390" spans="1:11" x14ac:dyDescent="0.3">
      <c r="A390" s="2">
        <v>393</v>
      </c>
      <c r="B390" t="s">
        <v>13</v>
      </c>
      <c r="C390" t="s">
        <v>15</v>
      </c>
      <c r="D390" s="4">
        <v>53.024497140000001</v>
      </c>
      <c r="E390" s="4">
        <v>400.36083109999998</v>
      </c>
      <c r="F390" s="4">
        <v>506.16301110000001</v>
      </c>
      <c r="G390" s="4">
        <v>232.4715233</v>
      </c>
      <c r="H390" s="4">
        <v>32.175391689999998</v>
      </c>
      <c r="I390" t="s">
        <v>18</v>
      </c>
      <c r="J390" s="1">
        <v>45319</v>
      </c>
      <c r="K390" s="4" t="str">
        <f>TRIM(CLEAN(Table1[[#This Row],[Region]]))</f>
        <v>East</v>
      </c>
    </row>
    <row r="391" spans="1:11" x14ac:dyDescent="0.3">
      <c r="A391" s="2">
        <v>394</v>
      </c>
      <c r="B391" t="s">
        <v>12</v>
      </c>
      <c r="C391" t="s">
        <v>15</v>
      </c>
      <c r="D391" s="4">
        <v>43.720715130000002</v>
      </c>
      <c r="E391" s="4">
        <v>472.01269139999999</v>
      </c>
      <c r="F391" s="4">
        <v>362.54229049999998</v>
      </c>
      <c r="G391" s="4">
        <v>229.08894799999999</v>
      </c>
      <c r="H391" s="4">
        <v>28.47264985</v>
      </c>
      <c r="I391" t="s">
        <v>16</v>
      </c>
      <c r="J391" s="1">
        <v>45320</v>
      </c>
      <c r="K391" s="4" t="str">
        <f>TRIM(CLEAN(Table1[[#This Row],[Region]]))</f>
        <v>South</v>
      </c>
    </row>
    <row r="392" spans="1:11" x14ac:dyDescent="0.3">
      <c r="A392" s="2">
        <v>395</v>
      </c>
      <c r="B392" t="s">
        <v>14</v>
      </c>
      <c r="C392" t="s">
        <v>20</v>
      </c>
      <c r="D392" s="4">
        <v>50.156867140000003</v>
      </c>
      <c r="E392" s="4">
        <v>388.28586730000001</v>
      </c>
      <c r="F392" s="4">
        <v>469.43466369999999</v>
      </c>
      <c r="G392" s="4">
        <v>179.49368770000001</v>
      </c>
      <c r="H392" s="4">
        <v>26.276215220000001</v>
      </c>
      <c r="I392" t="s">
        <v>20</v>
      </c>
      <c r="J392" s="1">
        <v>45321</v>
      </c>
      <c r="K392" s="4" t="str">
        <f>TRIM(CLEAN(Table1[[#This Row],[Region]]))</f>
        <v>North</v>
      </c>
    </row>
    <row r="393" spans="1:11" x14ac:dyDescent="0.3">
      <c r="A393" s="2">
        <v>396</v>
      </c>
      <c r="B393" t="s">
        <v>21</v>
      </c>
      <c r="C393" t="s">
        <v>19</v>
      </c>
      <c r="D393" s="4">
        <v>42.71268319</v>
      </c>
      <c r="E393" s="4">
        <v>398.79051140000001</v>
      </c>
      <c r="F393" s="4">
        <v>520.59029850000002</v>
      </c>
      <c r="G393" s="4">
        <v>214.2237815</v>
      </c>
      <c r="H393" s="4">
        <v>28.34811968</v>
      </c>
      <c r="I393" t="s">
        <v>18</v>
      </c>
      <c r="J393" s="1">
        <v>45322</v>
      </c>
      <c r="K393" s="4" t="str">
        <f>TRIM(CLEAN(Table1[[#This Row],[Region]]))</f>
        <v>South</v>
      </c>
    </row>
    <row r="394" spans="1:11" x14ac:dyDescent="0.3">
      <c r="A394" s="2">
        <v>397</v>
      </c>
      <c r="B394" t="s">
        <v>14</v>
      </c>
      <c r="C394" t="s">
        <v>17</v>
      </c>
      <c r="D394" s="4">
        <v>34.657013739999996</v>
      </c>
      <c r="E394" s="4">
        <v>537.65740149999999</v>
      </c>
      <c r="F394" s="4">
        <v>458.23375160000001</v>
      </c>
      <c r="G394" s="4">
        <v>251.75644579999999</v>
      </c>
      <c r="H394" s="4">
        <v>31.682691909999999</v>
      </c>
      <c r="I394" t="s">
        <v>16</v>
      </c>
      <c r="J394" s="1">
        <v>45323</v>
      </c>
      <c r="K394" s="4" t="str">
        <f>TRIM(CLEAN(Table1[[#This Row],[Region]]))</f>
        <v>North</v>
      </c>
    </row>
    <row r="395" spans="1:11" x14ac:dyDescent="0.3">
      <c r="A395" s="2">
        <v>398</v>
      </c>
      <c r="B395" t="s">
        <v>10</v>
      </c>
      <c r="C395" t="s">
        <v>20</v>
      </c>
      <c r="D395" s="4">
        <v>59.12435249</v>
      </c>
      <c r="E395" s="4">
        <v>580.98578420000001</v>
      </c>
      <c r="F395" s="4">
        <v>420.6774795</v>
      </c>
      <c r="G395" s="4">
        <v>222.2782291</v>
      </c>
      <c r="H395" s="4">
        <v>34.574666950000001</v>
      </c>
      <c r="I395" t="s">
        <v>20</v>
      </c>
      <c r="J395" s="1">
        <v>45324</v>
      </c>
      <c r="K395" s="4" t="str">
        <f>TRIM(CLEAN(Table1[[#This Row],[Region]]))</f>
        <v>West</v>
      </c>
    </row>
    <row r="396" spans="1:11" x14ac:dyDescent="0.3">
      <c r="A396" s="2">
        <v>399</v>
      </c>
      <c r="B396" t="s">
        <v>20</v>
      </c>
      <c r="C396" t="s">
        <v>19</v>
      </c>
      <c r="D396" s="4">
        <v>52.351548829999999</v>
      </c>
      <c r="E396" s="4">
        <v>435.06083059999997</v>
      </c>
      <c r="F396" s="4">
        <v>329.91647239999998</v>
      </c>
      <c r="G396" s="4">
        <v>292.94888470000001</v>
      </c>
      <c r="H396" s="4">
        <v>28.740134059999999</v>
      </c>
      <c r="I396" t="s">
        <v>16</v>
      </c>
      <c r="J396" s="1">
        <v>45325</v>
      </c>
      <c r="K396" s="4" t="str">
        <f>TRIM(CLEAN(Table1[[#This Row],[Region]]))</f>
        <v>Unknown</v>
      </c>
    </row>
    <row r="397" spans="1:11" x14ac:dyDescent="0.3">
      <c r="A397" s="2">
        <v>400</v>
      </c>
      <c r="B397" t="s">
        <v>14</v>
      </c>
      <c r="C397" t="s">
        <v>19</v>
      </c>
      <c r="D397" s="4">
        <v>72.886820689999993</v>
      </c>
      <c r="E397" s="4">
        <v>577.20947890000002</v>
      </c>
      <c r="F397" s="4">
        <v>482.63325700000001</v>
      </c>
      <c r="G397" s="4">
        <v>249.10894930000001</v>
      </c>
      <c r="H397" s="4">
        <v>23.980309349999999</v>
      </c>
      <c r="I397" t="s">
        <v>18</v>
      </c>
      <c r="J397" s="1">
        <v>45326</v>
      </c>
      <c r="K397" s="4" t="str">
        <f>TRIM(CLEAN(Table1[[#This Row],[Region]]))</f>
        <v>North</v>
      </c>
    </row>
    <row r="398" spans="1:11" x14ac:dyDescent="0.3">
      <c r="A398" s="2">
        <v>401</v>
      </c>
      <c r="B398" t="s">
        <v>14</v>
      </c>
      <c r="C398" t="s">
        <v>19</v>
      </c>
      <c r="D398" s="4">
        <v>50.539879999999997</v>
      </c>
      <c r="E398" s="4">
        <v>611.1578657</v>
      </c>
      <c r="F398" s="4">
        <v>232.20511350000001</v>
      </c>
      <c r="G398" s="4">
        <v>285.9203536</v>
      </c>
      <c r="H398" s="4">
        <v>34.99857402</v>
      </c>
      <c r="I398" t="s">
        <v>16</v>
      </c>
      <c r="J398" s="1">
        <v>45327</v>
      </c>
      <c r="K398" s="4" t="str">
        <f>TRIM(CLEAN(Table1[[#This Row],[Region]]))</f>
        <v>North</v>
      </c>
    </row>
    <row r="399" spans="1:11" x14ac:dyDescent="0.3">
      <c r="A399" s="2">
        <v>403</v>
      </c>
      <c r="B399" t="s">
        <v>14</v>
      </c>
      <c r="C399" t="s">
        <v>15</v>
      </c>
      <c r="D399" s="4">
        <v>48.714925190000002</v>
      </c>
      <c r="E399" s="4">
        <v>506.9746849</v>
      </c>
      <c r="F399" s="4">
        <v>368.66590689999998</v>
      </c>
      <c r="G399" s="4">
        <v>204.8338061</v>
      </c>
      <c r="H399" s="4">
        <v>29.664100000000001</v>
      </c>
      <c r="I399" t="s">
        <v>16</v>
      </c>
      <c r="J399" s="1">
        <v>45329</v>
      </c>
      <c r="K399" s="4" t="str">
        <f>TRIM(CLEAN(Table1[[#This Row],[Region]]))</f>
        <v>North</v>
      </c>
    </row>
    <row r="400" spans="1:11" x14ac:dyDescent="0.3">
      <c r="A400" s="2">
        <v>404</v>
      </c>
      <c r="B400" t="s">
        <v>13</v>
      </c>
      <c r="C400" t="s">
        <v>20</v>
      </c>
      <c r="D400" s="4">
        <v>59.893694379999999</v>
      </c>
      <c r="E400" s="4">
        <v>436.02354730000002</v>
      </c>
      <c r="F400" s="4">
        <v>451.27477779999998</v>
      </c>
      <c r="G400" s="4">
        <v>183.80337499999999</v>
      </c>
      <c r="H400" s="4">
        <v>29.875836660000001</v>
      </c>
      <c r="I400" t="s">
        <v>18</v>
      </c>
      <c r="J400" s="1">
        <v>45330</v>
      </c>
      <c r="K400" s="4" t="str">
        <f>TRIM(CLEAN(Table1[[#This Row],[Region]]))</f>
        <v>East</v>
      </c>
    </row>
    <row r="401" spans="1:11" x14ac:dyDescent="0.3">
      <c r="A401" s="2">
        <v>405</v>
      </c>
      <c r="B401" t="s">
        <v>20</v>
      </c>
      <c r="C401" t="s">
        <v>11</v>
      </c>
      <c r="D401" s="4">
        <v>44.92892106</v>
      </c>
      <c r="E401" s="4">
        <v>399.75280679999997</v>
      </c>
      <c r="F401" s="4">
        <v>454.40042410000001</v>
      </c>
      <c r="G401" s="4">
        <v>193.7510135</v>
      </c>
      <c r="H401" s="4">
        <v>29.20714954</v>
      </c>
      <c r="I401" t="s">
        <v>18</v>
      </c>
      <c r="J401" s="1">
        <v>45331</v>
      </c>
      <c r="K401" s="4" t="str">
        <f>TRIM(CLEAN(Table1[[#This Row],[Region]]))</f>
        <v>Unknown</v>
      </c>
    </row>
    <row r="402" spans="1:11" x14ac:dyDescent="0.3">
      <c r="A402" s="2">
        <v>406</v>
      </c>
      <c r="B402" t="s">
        <v>13</v>
      </c>
      <c r="C402" t="s">
        <v>20</v>
      </c>
      <c r="D402" s="4">
        <v>38.289581460000001</v>
      </c>
      <c r="E402" s="4">
        <v>389.82068020000003</v>
      </c>
      <c r="F402" s="4">
        <v>595.19480090000002</v>
      </c>
      <c r="G402" s="4">
        <v>159.75202899999999</v>
      </c>
      <c r="H402" s="4">
        <v>27.565118500000001</v>
      </c>
      <c r="I402" t="s">
        <v>20</v>
      </c>
      <c r="J402" s="1">
        <v>45332</v>
      </c>
      <c r="K402" s="4" t="str">
        <f>TRIM(CLEAN(Table1[[#This Row],[Region]]))</f>
        <v>East</v>
      </c>
    </row>
    <row r="403" spans="1:11" x14ac:dyDescent="0.3">
      <c r="A403" s="2">
        <v>407</v>
      </c>
      <c r="B403" t="s">
        <v>14</v>
      </c>
      <c r="C403" t="s">
        <v>11</v>
      </c>
      <c r="D403" s="4">
        <v>62.078093080000002</v>
      </c>
      <c r="E403" s="4">
        <v>624.97807009999997</v>
      </c>
      <c r="F403" s="4">
        <v>670.01727330000006</v>
      </c>
      <c r="G403" s="4">
        <v>219.80996999999999</v>
      </c>
      <c r="H403" s="4">
        <v>33.100743899999998</v>
      </c>
      <c r="I403" t="s">
        <v>16</v>
      </c>
      <c r="J403" s="1">
        <v>45333</v>
      </c>
      <c r="K403" s="4" t="str">
        <f>TRIM(CLEAN(Table1[[#This Row],[Region]]))</f>
        <v>North</v>
      </c>
    </row>
    <row r="404" spans="1:11" x14ac:dyDescent="0.3">
      <c r="A404" s="2">
        <v>408</v>
      </c>
      <c r="B404" t="s">
        <v>14</v>
      </c>
      <c r="C404" t="s">
        <v>19</v>
      </c>
      <c r="D404" s="4">
        <v>46.833499709999998</v>
      </c>
      <c r="E404" s="4">
        <v>348.49046570000002</v>
      </c>
      <c r="F404" s="4">
        <v>345.86653919999998</v>
      </c>
      <c r="G404" s="4">
        <v>109.5821784</v>
      </c>
      <c r="H404" s="4">
        <v>12.08968696</v>
      </c>
      <c r="I404" t="s">
        <v>16</v>
      </c>
      <c r="J404" s="1">
        <v>45334</v>
      </c>
      <c r="K404" s="4" t="str">
        <f>TRIM(CLEAN(Table1[[#This Row],[Region]]))</f>
        <v>North</v>
      </c>
    </row>
    <row r="405" spans="1:11" x14ac:dyDescent="0.3">
      <c r="A405" s="2">
        <v>409</v>
      </c>
      <c r="B405" t="s">
        <v>10</v>
      </c>
      <c r="C405" t="s">
        <v>19</v>
      </c>
      <c r="D405" s="4">
        <v>58.786435099999998</v>
      </c>
      <c r="E405" s="4">
        <v>621.77484860000004</v>
      </c>
      <c r="F405" s="4">
        <v>719.13991499999997</v>
      </c>
      <c r="G405" s="4">
        <v>220.17184309999999</v>
      </c>
      <c r="H405" s="4">
        <v>35.682352539999997</v>
      </c>
      <c r="I405" t="s">
        <v>20</v>
      </c>
      <c r="J405" s="1">
        <v>45335</v>
      </c>
      <c r="K405" s="4" t="str">
        <f>TRIM(CLEAN(Table1[[#This Row],[Region]]))</f>
        <v>West</v>
      </c>
    </row>
    <row r="406" spans="1:11" x14ac:dyDescent="0.3">
      <c r="A406" s="2">
        <v>410</v>
      </c>
      <c r="B406" t="s">
        <v>10</v>
      </c>
      <c r="C406" t="s">
        <v>19</v>
      </c>
      <c r="D406" s="4">
        <v>57.621984009999998</v>
      </c>
      <c r="E406" s="4">
        <v>413.1558971</v>
      </c>
      <c r="F406" s="4">
        <v>386.48452809999998</v>
      </c>
      <c r="G406" s="4">
        <v>161.41443899999999</v>
      </c>
      <c r="H406" s="4">
        <v>25.437461129999999</v>
      </c>
      <c r="I406" t="s">
        <v>18</v>
      </c>
      <c r="J406" s="1">
        <v>45336</v>
      </c>
      <c r="K406" s="4" t="str">
        <f>TRIM(CLEAN(Table1[[#This Row],[Region]]))</f>
        <v>West</v>
      </c>
    </row>
    <row r="407" spans="1:11" x14ac:dyDescent="0.3">
      <c r="A407" s="2">
        <v>411</v>
      </c>
      <c r="B407" t="s">
        <v>21</v>
      </c>
      <c r="C407" t="s">
        <v>17</v>
      </c>
      <c r="D407" s="4">
        <v>49.701095260000002</v>
      </c>
      <c r="E407" s="4">
        <v>431.47938019999998</v>
      </c>
      <c r="F407" s="4">
        <v>500.703214</v>
      </c>
      <c r="G407" s="4">
        <v>174.9806955</v>
      </c>
      <c r="H407" s="4">
        <v>32.03978455</v>
      </c>
      <c r="I407" t="s">
        <v>18</v>
      </c>
      <c r="J407" s="1">
        <v>45337</v>
      </c>
      <c r="K407" s="4" t="str">
        <f>TRIM(CLEAN(Table1[[#This Row],[Region]]))</f>
        <v>South</v>
      </c>
    </row>
    <row r="408" spans="1:11" x14ac:dyDescent="0.3">
      <c r="A408" s="2">
        <v>412</v>
      </c>
      <c r="B408" t="s">
        <v>14</v>
      </c>
      <c r="C408" t="s">
        <v>19</v>
      </c>
      <c r="D408" s="4">
        <v>48.256862949999999</v>
      </c>
      <c r="E408" s="4">
        <v>484.84445449999998</v>
      </c>
      <c r="F408" s="4">
        <v>541.30355870000005</v>
      </c>
      <c r="G408" s="4">
        <v>221.92508849999999</v>
      </c>
      <c r="H408" s="4">
        <v>31.775128089999999</v>
      </c>
      <c r="I408" t="s">
        <v>18</v>
      </c>
      <c r="J408" s="1">
        <v>45338</v>
      </c>
      <c r="K408" s="4" t="str">
        <f>TRIM(CLEAN(Table1[[#This Row],[Region]]))</f>
        <v>North</v>
      </c>
    </row>
    <row r="409" spans="1:11" x14ac:dyDescent="0.3">
      <c r="A409" s="2">
        <v>413</v>
      </c>
      <c r="B409" t="s">
        <v>21</v>
      </c>
      <c r="C409" t="s">
        <v>19</v>
      </c>
      <c r="D409" s="4">
        <v>46.084351939999998</v>
      </c>
      <c r="E409" s="4">
        <v>429.634545</v>
      </c>
      <c r="F409" s="4">
        <v>773.34993029999998</v>
      </c>
      <c r="G409" s="4">
        <v>203.9388864</v>
      </c>
      <c r="H409" s="4">
        <v>36.374886910000001</v>
      </c>
      <c r="I409" t="s">
        <v>16</v>
      </c>
      <c r="J409" s="1">
        <v>45339</v>
      </c>
      <c r="K409" s="4" t="str">
        <f>TRIM(CLEAN(Table1[[#This Row],[Region]]))</f>
        <v>South</v>
      </c>
    </row>
    <row r="410" spans="1:11" x14ac:dyDescent="0.3">
      <c r="A410" s="2">
        <v>414</v>
      </c>
      <c r="B410" t="s">
        <v>14</v>
      </c>
      <c r="C410" t="s">
        <v>17</v>
      </c>
      <c r="D410" s="4">
        <v>49.84806871</v>
      </c>
      <c r="E410" s="4">
        <v>503.25760000000002</v>
      </c>
      <c r="F410" s="4">
        <v>414.92611950000003</v>
      </c>
      <c r="G410" s="4">
        <v>252.69604559999999</v>
      </c>
      <c r="H410" s="4">
        <v>30.988745680000001</v>
      </c>
      <c r="I410" t="s">
        <v>16</v>
      </c>
      <c r="J410" s="1">
        <v>45340</v>
      </c>
      <c r="K410" s="4" t="str">
        <f>TRIM(CLEAN(Table1[[#This Row],[Region]]))</f>
        <v>North</v>
      </c>
    </row>
    <row r="411" spans="1:11" x14ac:dyDescent="0.3">
      <c r="A411" s="2">
        <v>415</v>
      </c>
      <c r="B411" t="s">
        <v>21</v>
      </c>
      <c r="C411" t="s">
        <v>20</v>
      </c>
      <c r="D411" s="4">
        <v>58.631002260000002</v>
      </c>
      <c r="E411" s="4">
        <v>681.33439520000002</v>
      </c>
      <c r="F411" s="4">
        <v>264.39143840000003</v>
      </c>
      <c r="G411" s="4">
        <v>151.52482470000001</v>
      </c>
      <c r="H411" s="4">
        <v>25.854454100000002</v>
      </c>
      <c r="I411" t="s">
        <v>20</v>
      </c>
      <c r="J411" s="1">
        <v>45341</v>
      </c>
      <c r="K411" s="4" t="str">
        <f>TRIM(CLEAN(Table1[[#This Row],[Region]]))</f>
        <v>South</v>
      </c>
    </row>
    <row r="412" spans="1:11" x14ac:dyDescent="0.3">
      <c r="A412" s="2">
        <v>416</v>
      </c>
      <c r="B412" t="s">
        <v>13</v>
      </c>
      <c r="C412" t="s">
        <v>20</v>
      </c>
      <c r="D412" s="4">
        <v>42.035598190000002</v>
      </c>
      <c r="E412" s="4">
        <v>434.25678420000003</v>
      </c>
      <c r="F412" s="4">
        <v>658.84553640000001</v>
      </c>
      <c r="G412" s="4">
        <v>195.96471740000001</v>
      </c>
      <c r="H412" s="4">
        <v>21.976225060000001</v>
      </c>
      <c r="I412" t="s">
        <v>16</v>
      </c>
      <c r="J412" s="1">
        <v>45342</v>
      </c>
      <c r="K412" s="4" t="str">
        <f>TRIM(CLEAN(Table1[[#This Row],[Region]]))</f>
        <v>East</v>
      </c>
    </row>
    <row r="413" spans="1:11" x14ac:dyDescent="0.3">
      <c r="A413" s="2">
        <v>417</v>
      </c>
      <c r="B413" t="s">
        <v>10</v>
      </c>
      <c r="C413" t="s">
        <v>17</v>
      </c>
      <c r="D413" s="4">
        <v>51.088456299999997</v>
      </c>
      <c r="E413" s="4">
        <v>456.7762161</v>
      </c>
      <c r="F413" s="4">
        <v>379.9951729</v>
      </c>
      <c r="G413" s="4">
        <v>244.43865589999999</v>
      </c>
      <c r="H413" s="4">
        <v>28.255984229999999</v>
      </c>
      <c r="I413" t="s">
        <v>18</v>
      </c>
      <c r="J413" s="1">
        <v>45343</v>
      </c>
      <c r="K413" s="4" t="str">
        <f>TRIM(CLEAN(Table1[[#This Row],[Region]]))</f>
        <v>West</v>
      </c>
    </row>
    <row r="414" spans="1:11" x14ac:dyDescent="0.3">
      <c r="A414" s="2">
        <v>418</v>
      </c>
      <c r="B414" t="s">
        <v>14</v>
      </c>
      <c r="C414" t="s">
        <v>19</v>
      </c>
      <c r="D414" s="4">
        <v>38.813685720000002</v>
      </c>
      <c r="E414" s="4">
        <v>483.66791929999999</v>
      </c>
      <c r="F414" s="4">
        <v>436.60937030000002</v>
      </c>
      <c r="G414" s="4">
        <v>218.05998719999999</v>
      </c>
      <c r="H414" s="4">
        <v>20.209122860000001</v>
      </c>
      <c r="I414" t="s">
        <v>16</v>
      </c>
      <c r="J414" s="1">
        <v>45344</v>
      </c>
      <c r="K414" s="4" t="str">
        <f>TRIM(CLEAN(Table1[[#This Row],[Region]]))</f>
        <v>North</v>
      </c>
    </row>
    <row r="415" spans="1:11" x14ac:dyDescent="0.3">
      <c r="A415" s="2">
        <v>419</v>
      </c>
      <c r="B415" t="s">
        <v>14</v>
      </c>
      <c r="C415" t="s">
        <v>19</v>
      </c>
      <c r="D415" s="4">
        <v>40.058937669999999</v>
      </c>
      <c r="E415" s="4">
        <v>554.10567630000003</v>
      </c>
      <c r="F415" s="4">
        <v>345.87004150000001</v>
      </c>
      <c r="G415" s="4">
        <v>221.2797127</v>
      </c>
      <c r="H415" s="4">
        <v>26.85757147</v>
      </c>
      <c r="I415" t="s">
        <v>16</v>
      </c>
      <c r="J415" s="1">
        <v>45345</v>
      </c>
      <c r="K415" s="4" t="str">
        <f>TRIM(CLEAN(Table1[[#This Row],[Region]]))</f>
        <v>North</v>
      </c>
    </row>
    <row r="416" spans="1:11" x14ac:dyDescent="0.3">
      <c r="A416" s="2">
        <v>420</v>
      </c>
      <c r="B416" t="s">
        <v>14</v>
      </c>
      <c r="C416" t="s">
        <v>19</v>
      </c>
      <c r="D416" s="4">
        <v>49.690610030000002</v>
      </c>
      <c r="E416" s="4">
        <v>503.25760000000002</v>
      </c>
      <c r="F416" s="4">
        <v>436.95554720000001</v>
      </c>
      <c r="G416" s="4">
        <v>255.4021429</v>
      </c>
      <c r="H416" s="4">
        <v>28.5368469</v>
      </c>
      <c r="I416" t="s">
        <v>16</v>
      </c>
      <c r="J416" s="1">
        <v>45346</v>
      </c>
      <c r="K416" s="4" t="str">
        <f>TRIM(CLEAN(Table1[[#This Row],[Region]]))</f>
        <v>North</v>
      </c>
    </row>
    <row r="417" spans="1:11" x14ac:dyDescent="0.3">
      <c r="A417" s="2">
        <v>421</v>
      </c>
      <c r="B417" t="s">
        <v>14</v>
      </c>
      <c r="C417" t="s">
        <v>19</v>
      </c>
      <c r="D417" s="4">
        <v>30.398419919999998</v>
      </c>
      <c r="E417" s="4">
        <v>638.72574110000005</v>
      </c>
      <c r="F417" s="4">
        <v>379.15301570000003</v>
      </c>
      <c r="G417" s="4">
        <v>179.68787760000001</v>
      </c>
      <c r="H417" s="4">
        <v>26.550420110000001</v>
      </c>
      <c r="I417" t="s">
        <v>16</v>
      </c>
      <c r="J417" s="1">
        <v>45347</v>
      </c>
      <c r="K417" s="4" t="str">
        <f>TRIM(CLEAN(Table1[[#This Row],[Region]]))</f>
        <v>North</v>
      </c>
    </row>
    <row r="418" spans="1:11" x14ac:dyDescent="0.3">
      <c r="A418" s="2">
        <v>422</v>
      </c>
      <c r="B418" t="s">
        <v>21</v>
      </c>
      <c r="C418" t="s">
        <v>20</v>
      </c>
      <c r="D418" s="4">
        <v>70.605586169999995</v>
      </c>
      <c r="E418" s="4">
        <v>614.66239169999994</v>
      </c>
      <c r="F418" s="4">
        <v>561.17301799999996</v>
      </c>
      <c r="G418" s="4">
        <v>169.1584561</v>
      </c>
      <c r="H418" s="4">
        <v>30.208868290000002</v>
      </c>
      <c r="I418" t="s">
        <v>16</v>
      </c>
      <c r="J418" s="1">
        <v>45348</v>
      </c>
      <c r="K418" s="4" t="str">
        <f>TRIM(CLEAN(Table1[[#This Row],[Region]]))</f>
        <v>South</v>
      </c>
    </row>
    <row r="419" spans="1:11" x14ac:dyDescent="0.3">
      <c r="A419" s="2">
        <v>423</v>
      </c>
      <c r="B419" t="s">
        <v>14</v>
      </c>
      <c r="C419" t="s">
        <v>15</v>
      </c>
      <c r="D419" s="4">
        <v>38.069400450000003</v>
      </c>
      <c r="E419" s="4">
        <v>381.4537646</v>
      </c>
      <c r="F419" s="4">
        <v>489.69499560000003</v>
      </c>
      <c r="G419" s="4">
        <v>228.79522180000001</v>
      </c>
      <c r="H419" s="4">
        <v>28.819479950000002</v>
      </c>
      <c r="I419" t="s">
        <v>16</v>
      </c>
      <c r="J419" s="1">
        <v>45349</v>
      </c>
      <c r="K419" s="4" t="str">
        <f>TRIM(CLEAN(Table1[[#This Row],[Region]]))</f>
        <v>North</v>
      </c>
    </row>
    <row r="420" spans="1:11" x14ac:dyDescent="0.3">
      <c r="A420" s="2">
        <v>424</v>
      </c>
      <c r="B420" t="s">
        <v>20</v>
      </c>
      <c r="C420" t="s">
        <v>15</v>
      </c>
      <c r="D420" s="4">
        <v>49.599114870000001</v>
      </c>
      <c r="E420" s="4">
        <v>552.09681660000001</v>
      </c>
      <c r="F420" s="4">
        <v>398.27338070000002</v>
      </c>
      <c r="G420" s="4">
        <v>192.52842570000001</v>
      </c>
      <c r="H420" s="4">
        <v>28.36156729</v>
      </c>
      <c r="I420" t="s">
        <v>18</v>
      </c>
      <c r="J420" s="1">
        <v>45350</v>
      </c>
      <c r="K420" s="4" t="str">
        <f>TRIM(CLEAN(Table1[[#This Row],[Region]]))</f>
        <v>Unknown</v>
      </c>
    </row>
    <row r="421" spans="1:11" x14ac:dyDescent="0.3">
      <c r="A421" s="2">
        <v>425</v>
      </c>
      <c r="B421" t="s">
        <v>13</v>
      </c>
      <c r="C421" t="s">
        <v>15</v>
      </c>
      <c r="D421" s="4">
        <v>61.68217722</v>
      </c>
      <c r="E421" s="4">
        <v>652.03392369999995</v>
      </c>
      <c r="F421" s="4">
        <v>599.50463720000005</v>
      </c>
      <c r="G421" s="4">
        <v>256.1101784</v>
      </c>
      <c r="H421" s="4">
        <v>17.879246909999999</v>
      </c>
      <c r="I421" t="s">
        <v>16</v>
      </c>
      <c r="J421" s="1">
        <v>45351</v>
      </c>
      <c r="K421" s="4" t="str">
        <f>TRIM(CLEAN(Table1[[#This Row],[Region]]))</f>
        <v>East</v>
      </c>
    </row>
    <row r="422" spans="1:11" x14ac:dyDescent="0.3">
      <c r="A422" s="2">
        <v>426</v>
      </c>
      <c r="B422" t="s">
        <v>10</v>
      </c>
      <c r="C422" t="s">
        <v>20</v>
      </c>
      <c r="D422" s="4">
        <v>41.370946609999997</v>
      </c>
      <c r="E422" s="4">
        <v>503.25760000000002</v>
      </c>
      <c r="F422" s="4">
        <v>510.59961010000001</v>
      </c>
      <c r="G422" s="4">
        <v>218.48867190000001</v>
      </c>
      <c r="H422" s="4">
        <v>23.526474100000001</v>
      </c>
      <c r="I422" t="s">
        <v>18</v>
      </c>
      <c r="J422" s="1">
        <v>45352</v>
      </c>
      <c r="K422" s="4" t="str">
        <f>TRIM(CLEAN(Table1[[#This Row],[Region]]))</f>
        <v>West</v>
      </c>
    </row>
    <row r="423" spans="1:11" x14ac:dyDescent="0.3">
      <c r="A423" s="2">
        <v>427</v>
      </c>
      <c r="B423" t="s">
        <v>14</v>
      </c>
      <c r="C423" t="s">
        <v>20</v>
      </c>
      <c r="D423" s="4">
        <v>134.8651505</v>
      </c>
      <c r="E423" s="4">
        <v>1882.2940510000001</v>
      </c>
      <c r="F423" s="4">
        <v>258.47420990000001</v>
      </c>
      <c r="G423" s="4">
        <v>168.83246600000001</v>
      </c>
      <c r="H423" s="4">
        <v>33.213283660000002</v>
      </c>
      <c r="I423" t="s">
        <v>18</v>
      </c>
      <c r="J423" s="1">
        <v>45353</v>
      </c>
      <c r="K423" s="4" t="str">
        <f>TRIM(CLEAN(Table1[[#This Row],[Region]]))</f>
        <v>North</v>
      </c>
    </row>
    <row r="424" spans="1:11" x14ac:dyDescent="0.3">
      <c r="A424" s="2">
        <v>428</v>
      </c>
      <c r="B424" t="s">
        <v>10</v>
      </c>
      <c r="C424" t="s">
        <v>19</v>
      </c>
      <c r="D424" s="4">
        <v>45.550542399999998</v>
      </c>
      <c r="E424" s="4">
        <v>447.1963002</v>
      </c>
      <c r="F424" s="4">
        <v>590.36439770000004</v>
      </c>
      <c r="G424" s="4">
        <v>216.9192013</v>
      </c>
      <c r="H424" s="4">
        <v>34.021281360000003</v>
      </c>
      <c r="I424" t="s">
        <v>18</v>
      </c>
      <c r="J424" s="1">
        <v>45354</v>
      </c>
      <c r="K424" s="4" t="str">
        <f>TRIM(CLEAN(Table1[[#This Row],[Region]]))</f>
        <v>West</v>
      </c>
    </row>
    <row r="425" spans="1:11" x14ac:dyDescent="0.3">
      <c r="A425" s="2">
        <v>429</v>
      </c>
      <c r="B425" t="s">
        <v>20</v>
      </c>
      <c r="C425" t="s">
        <v>19</v>
      </c>
      <c r="D425" s="4">
        <v>41.251796200000001</v>
      </c>
      <c r="E425" s="4">
        <v>449.29243839999998</v>
      </c>
      <c r="F425" s="4">
        <v>502.18414610000002</v>
      </c>
      <c r="G425" s="4">
        <v>154.86501680000001</v>
      </c>
      <c r="H425" s="4">
        <v>20.806116410000001</v>
      </c>
      <c r="I425" t="s">
        <v>18</v>
      </c>
      <c r="J425" s="1">
        <v>45355</v>
      </c>
      <c r="K425" s="4" t="str">
        <f>TRIM(CLEAN(Table1[[#This Row],[Region]]))</f>
        <v>Unknown</v>
      </c>
    </row>
    <row r="426" spans="1:11" x14ac:dyDescent="0.3">
      <c r="A426" s="2">
        <v>430</v>
      </c>
      <c r="B426" t="s">
        <v>14</v>
      </c>
      <c r="C426" t="s">
        <v>19</v>
      </c>
      <c r="D426" s="4">
        <v>27.236264909999999</v>
      </c>
      <c r="E426" s="4">
        <v>333.15484479999998</v>
      </c>
      <c r="F426" s="4">
        <v>646.88789850000001</v>
      </c>
      <c r="G426" s="4">
        <v>247.34642339999999</v>
      </c>
      <c r="H426" s="4">
        <v>25.92640909</v>
      </c>
      <c r="I426" t="s">
        <v>16</v>
      </c>
      <c r="J426" s="1">
        <v>45356</v>
      </c>
      <c r="K426" s="4" t="str">
        <f>TRIM(CLEAN(Table1[[#This Row],[Region]]))</f>
        <v>North</v>
      </c>
    </row>
    <row r="427" spans="1:11" x14ac:dyDescent="0.3">
      <c r="A427" s="2">
        <v>431</v>
      </c>
      <c r="B427" t="s">
        <v>14</v>
      </c>
      <c r="C427" t="s">
        <v>19</v>
      </c>
      <c r="D427" s="4">
        <v>52.848898929999997</v>
      </c>
      <c r="E427" s="4">
        <v>367.16850490000002</v>
      </c>
      <c r="F427" s="4">
        <v>494.87009119999999</v>
      </c>
      <c r="G427" s="4">
        <v>130.14238470000001</v>
      </c>
      <c r="H427" s="4">
        <v>35.359826839999997</v>
      </c>
      <c r="I427" t="s">
        <v>20</v>
      </c>
      <c r="J427" s="1">
        <v>45357</v>
      </c>
      <c r="K427" s="4" t="str">
        <f>TRIM(CLEAN(Table1[[#This Row],[Region]]))</f>
        <v>North</v>
      </c>
    </row>
    <row r="428" spans="1:11" x14ac:dyDescent="0.3">
      <c r="A428" s="2">
        <v>432</v>
      </c>
      <c r="B428" t="s">
        <v>20</v>
      </c>
      <c r="C428" t="s">
        <v>20</v>
      </c>
      <c r="D428" s="4">
        <v>52.07093862</v>
      </c>
      <c r="E428" s="4">
        <v>507.74737190000002</v>
      </c>
      <c r="F428" s="4">
        <v>384.99487790000001</v>
      </c>
      <c r="G428" s="4">
        <v>261.10326370000001</v>
      </c>
      <c r="H428" s="4">
        <v>26.409805930000001</v>
      </c>
      <c r="I428" t="s">
        <v>16</v>
      </c>
      <c r="J428" s="1">
        <v>45358</v>
      </c>
      <c r="K428" s="4" t="str">
        <f>TRIM(CLEAN(Table1[[#This Row],[Region]]))</f>
        <v>Unknown</v>
      </c>
    </row>
    <row r="429" spans="1:11" x14ac:dyDescent="0.3">
      <c r="A429" s="2">
        <v>433</v>
      </c>
      <c r="B429" t="s">
        <v>14</v>
      </c>
      <c r="C429" t="s">
        <v>15</v>
      </c>
      <c r="D429" s="4">
        <v>61.423264549999999</v>
      </c>
      <c r="E429" s="4">
        <v>651.35979750000001</v>
      </c>
      <c r="F429" s="4">
        <v>455.48455999999999</v>
      </c>
      <c r="G429" s="4">
        <v>216.04382559999999</v>
      </c>
      <c r="H429" s="4">
        <v>29.442546060000002</v>
      </c>
      <c r="I429" t="s">
        <v>16</v>
      </c>
      <c r="J429" s="1">
        <v>45359</v>
      </c>
      <c r="K429" s="4" t="str">
        <f>TRIM(CLEAN(Table1[[#This Row],[Region]]))</f>
        <v>North</v>
      </c>
    </row>
    <row r="430" spans="1:11" x14ac:dyDescent="0.3">
      <c r="A430" s="2">
        <v>434</v>
      </c>
      <c r="B430" t="s">
        <v>13</v>
      </c>
      <c r="C430" t="s">
        <v>11</v>
      </c>
      <c r="D430" s="4">
        <v>38.791776339999998</v>
      </c>
      <c r="E430" s="4">
        <v>438.66391870000001</v>
      </c>
      <c r="F430" s="4">
        <v>576.4703197</v>
      </c>
      <c r="G430" s="4">
        <v>191.7719515</v>
      </c>
      <c r="H430" s="4">
        <v>37.209026649999998</v>
      </c>
      <c r="I430" t="s">
        <v>16</v>
      </c>
      <c r="J430" s="1">
        <v>45360</v>
      </c>
      <c r="K430" s="4" t="str">
        <f>TRIM(CLEAN(Table1[[#This Row],[Region]]))</f>
        <v>East</v>
      </c>
    </row>
    <row r="431" spans="1:11" x14ac:dyDescent="0.3">
      <c r="A431" s="2">
        <v>435</v>
      </c>
      <c r="B431" t="s">
        <v>12</v>
      </c>
      <c r="C431" t="s">
        <v>19</v>
      </c>
      <c r="D431" s="4">
        <v>34.008635140000003</v>
      </c>
      <c r="E431" s="4">
        <v>435.72426969999998</v>
      </c>
      <c r="F431" s="4">
        <v>387.5115528</v>
      </c>
      <c r="G431" s="4">
        <v>238.1667075</v>
      </c>
      <c r="H431" s="4">
        <v>28.19211344</v>
      </c>
      <c r="I431" t="s">
        <v>18</v>
      </c>
      <c r="J431" s="1">
        <v>45361</v>
      </c>
      <c r="K431" s="4" t="str">
        <f>TRIM(CLEAN(Table1[[#This Row],[Region]]))</f>
        <v>South</v>
      </c>
    </row>
    <row r="432" spans="1:11" x14ac:dyDescent="0.3">
      <c r="A432" s="2">
        <v>436</v>
      </c>
      <c r="B432" t="s">
        <v>14</v>
      </c>
      <c r="C432" t="s">
        <v>20</v>
      </c>
      <c r="D432" s="4">
        <v>45.93276917</v>
      </c>
      <c r="E432" s="4">
        <v>670.152107</v>
      </c>
      <c r="F432" s="4">
        <v>427.16438549999998</v>
      </c>
      <c r="G432" s="4">
        <v>225.56633220000001</v>
      </c>
      <c r="H432" s="4">
        <v>27.476402950000001</v>
      </c>
      <c r="I432" t="s">
        <v>16</v>
      </c>
      <c r="J432" s="1">
        <v>45362</v>
      </c>
      <c r="K432" s="4" t="str">
        <f>TRIM(CLEAN(Table1[[#This Row],[Region]]))</f>
        <v>North</v>
      </c>
    </row>
    <row r="433" spans="1:11" x14ac:dyDescent="0.3">
      <c r="A433" s="2">
        <v>437</v>
      </c>
      <c r="B433" t="s">
        <v>12</v>
      </c>
      <c r="C433" t="s">
        <v>15</v>
      </c>
      <c r="D433" s="4">
        <v>49.116573410000001</v>
      </c>
      <c r="E433" s="4">
        <v>389.17425379999997</v>
      </c>
      <c r="F433" s="4">
        <v>453.3973704</v>
      </c>
      <c r="G433" s="4">
        <v>266.51908429999997</v>
      </c>
      <c r="H433" s="4">
        <v>29.214816549999998</v>
      </c>
      <c r="I433" t="s">
        <v>16</v>
      </c>
      <c r="J433" s="1">
        <v>45363</v>
      </c>
      <c r="K433" s="4" t="str">
        <f>TRIM(CLEAN(Table1[[#This Row],[Region]]))</f>
        <v>South</v>
      </c>
    </row>
    <row r="434" spans="1:11" x14ac:dyDescent="0.3">
      <c r="A434" s="2">
        <v>439</v>
      </c>
      <c r="B434" t="s">
        <v>21</v>
      </c>
      <c r="C434" t="s">
        <v>11</v>
      </c>
      <c r="D434" s="4">
        <v>64.105680050000004</v>
      </c>
      <c r="E434" s="4">
        <v>417.14845639999999</v>
      </c>
      <c r="F434" s="4">
        <v>389.24118900000002</v>
      </c>
      <c r="G434" s="4">
        <v>217.61452220000001</v>
      </c>
      <c r="H434" s="4">
        <v>32.231009180000001</v>
      </c>
      <c r="I434" t="s">
        <v>16</v>
      </c>
      <c r="J434" s="1">
        <v>45365</v>
      </c>
      <c r="K434" s="4" t="str">
        <f>TRIM(CLEAN(Table1[[#This Row],[Region]]))</f>
        <v>South</v>
      </c>
    </row>
    <row r="435" spans="1:11" x14ac:dyDescent="0.3">
      <c r="A435" s="2">
        <v>440</v>
      </c>
      <c r="B435" t="s">
        <v>20</v>
      </c>
      <c r="C435" t="s">
        <v>20</v>
      </c>
      <c r="D435" s="4">
        <v>62.144791339999998</v>
      </c>
      <c r="E435" s="4">
        <v>433.7215521</v>
      </c>
      <c r="F435" s="4">
        <v>500.70602300000002</v>
      </c>
      <c r="G435" s="4">
        <v>156.41146560000001</v>
      </c>
      <c r="H435" s="4">
        <v>30.09540814</v>
      </c>
      <c r="I435" t="s">
        <v>18</v>
      </c>
      <c r="J435" s="1">
        <v>45366</v>
      </c>
      <c r="K435" s="4" t="str">
        <f>TRIM(CLEAN(Table1[[#This Row],[Region]]))</f>
        <v>Unknown</v>
      </c>
    </row>
    <row r="436" spans="1:11" x14ac:dyDescent="0.3">
      <c r="A436" s="2">
        <v>441</v>
      </c>
      <c r="B436" t="s">
        <v>13</v>
      </c>
      <c r="C436" t="s">
        <v>17</v>
      </c>
      <c r="D436" s="4">
        <v>52.76543667</v>
      </c>
      <c r="E436" s="4">
        <v>325.25469149999998</v>
      </c>
      <c r="F436" s="4">
        <v>624.29732969999998</v>
      </c>
      <c r="G436" s="4">
        <v>172.92455000000001</v>
      </c>
      <c r="H436" s="4">
        <v>27.37820022</v>
      </c>
      <c r="I436" t="s">
        <v>16</v>
      </c>
      <c r="J436" s="1">
        <v>45367</v>
      </c>
      <c r="K436" s="4" t="str">
        <f>TRIM(CLEAN(Table1[[#This Row],[Region]]))</f>
        <v>East</v>
      </c>
    </row>
    <row r="437" spans="1:11" x14ac:dyDescent="0.3">
      <c r="A437" s="2">
        <v>442</v>
      </c>
      <c r="B437" t="s">
        <v>21</v>
      </c>
      <c r="C437" t="s">
        <v>19</v>
      </c>
      <c r="D437" s="4">
        <v>57.994992539999998</v>
      </c>
      <c r="E437" s="4">
        <v>487.19582939999998</v>
      </c>
      <c r="F437" s="4">
        <v>518.05763820000004</v>
      </c>
      <c r="G437" s="4">
        <v>196.41765570000001</v>
      </c>
      <c r="H437" s="4">
        <v>32.69408464</v>
      </c>
      <c r="I437" t="s">
        <v>18</v>
      </c>
      <c r="J437" s="1">
        <v>45368</v>
      </c>
      <c r="K437" s="4" t="str">
        <f>TRIM(CLEAN(Table1[[#This Row],[Region]]))</f>
        <v>South</v>
      </c>
    </row>
    <row r="438" spans="1:11" x14ac:dyDescent="0.3">
      <c r="A438" s="2">
        <v>443</v>
      </c>
      <c r="B438" t="s">
        <v>12</v>
      </c>
      <c r="C438" t="s">
        <v>11</v>
      </c>
      <c r="D438" s="4">
        <v>43.595065650000002</v>
      </c>
      <c r="E438" s="4">
        <v>594.84463500000004</v>
      </c>
      <c r="F438" s="4">
        <v>474.49664890000003</v>
      </c>
      <c r="G438" s="4">
        <v>254.08608469999999</v>
      </c>
      <c r="H438" s="4">
        <v>33.298498850000001</v>
      </c>
      <c r="I438" t="s">
        <v>20</v>
      </c>
      <c r="J438" s="1">
        <v>45369</v>
      </c>
      <c r="K438" s="4" t="str">
        <f>TRIM(CLEAN(Table1[[#This Row],[Region]]))</f>
        <v>South</v>
      </c>
    </row>
    <row r="439" spans="1:11" x14ac:dyDescent="0.3">
      <c r="A439" s="2">
        <v>444</v>
      </c>
      <c r="B439" t="s">
        <v>20</v>
      </c>
      <c r="C439" t="s">
        <v>20</v>
      </c>
      <c r="D439" s="4">
        <v>258.41975960000002</v>
      </c>
      <c r="E439" s="4">
        <v>1485.618091</v>
      </c>
      <c r="F439" s="4">
        <v>380.24750710000001</v>
      </c>
      <c r="G439" s="4">
        <v>177.18067690000001</v>
      </c>
      <c r="H439" s="4">
        <v>24.634107449999998</v>
      </c>
      <c r="I439" t="s">
        <v>18</v>
      </c>
      <c r="J439" s="1">
        <v>45370</v>
      </c>
      <c r="K439" s="4" t="str">
        <f>TRIM(CLEAN(Table1[[#This Row],[Region]]))</f>
        <v>Unknown</v>
      </c>
    </row>
    <row r="440" spans="1:11" x14ac:dyDescent="0.3">
      <c r="A440" s="2">
        <v>445</v>
      </c>
      <c r="B440" t="s">
        <v>21</v>
      </c>
      <c r="C440" t="s">
        <v>20</v>
      </c>
      <c r="D440" s="4">
        <v>38.087098609999998</v>
      </c>
      <c r="E440" s="4">
        <v>508.75782190000001</v>
      </c>
      <c r="F440" s="4">
        <v>611.41924940000001</v>
      </c>
      <c r="G440" s="4">
        <v>181.35297399999999</v>
      </c>
      <c r="H440" s="4">
        <v>33.433140960000003</v>
      </c>
      <c r="I440" t="s">
        <v>18</v>
      </c>
      <c r="J440" s="1">
        <v>45371</v>
      </c>
      <c r="K440" s="4" t="str">
        <f>TRIM(CLEAN(Table1[[#This Row],[Region]]))</f>
        <v>South</v>
      </c>
    </row>
    <row r="441" spans="1:11" x14ac:dyDescent="0.3">
      <c r="A441" s="2">
        <v>446</v>
      </c>
      <c r="B441" t="s">
        <v>20</v>
      </c>
      <c r="C441" t="s">
        <v>15</v>
      </c>
      <c r="D441" s="4">
        <v>50.626853969999999</v>
      </c>
      <c r="E441" s="4">
        <v>539.59356760000003</v>
      </c>
      <c r="F441" s="4">
        <v>532.02066000000002</v>
      </c>
      <c r="G441" s="4">
        <v>292.4175315</v>
      </c>
      <c r="H441" s="4">
        <v>29.24423857</v>
      </c>
      <c r="I441" t="s">
        <v>16</v>
      </c>
      <c r="J441" s="1">
        <v>45372</v>
      </c>
      <c r="K441" s="4" t="str">
        <f>TRIM(CLEAN(Table1[[#This Row],[Region]]))</f>
        <v>Unknown</v>
      </c>
    </row>
    <row r="442" spans="1:11" x14ac:dyDescent="0.3">
      <c r="A442" s="2">
        <v>447</v>
      </c>
      <c r="B442" t="s">
        <v>12</v>
      </c>
      <c r="C442" t="s">
        <v>17</v>
      </c>
      <c r="D442" s="4">
        <v>50.886466970000001</v>
      </c>
      <c r="E442" s="4">
        <v>491.66157249999998</v>
      </c>
      <c r="F442" s="4">
        <v>395.19242839999998</v>
      </c>
      <c r="G442" s="4">
        <v>194.78507440000001</v>
      </c>
      <c r="H442" s="4">
        <v>30.123993169999999</v>
      </c>
      <c r="I442" t="s">
        <v>20</v>
      </c>
      <c r="J442" s="1">
        <v>45373</v>
      </c>
      <c r="K442" s="4" t="str">
        <f>TRIM(CLEAN(Table1[[#This Row],[Region]]))</f>
        <v>South</v>
      </c>
    </row>
    <row r="443" spans="1:11" x14ac:dyDescent="0.3">
      <c r="A443" s="2">
        <v>448</v>
      </c>
      <c r="B443" t="s">
        <v>20</v>
      </c>
      <c r="C443" t="s">
        <v>19</v>
      </c>
      <c r="D443" s="4">
        <v>128.78537299999999</v>
      </c>
      <c r="E443" s="4">
        <v>518.56925899999999</v>
      </c>
      <c r="F443" s="4">
        <v>587.83781499999998</v>
      </c>
      <c r="G443" s="4">
        <v>168.2634055</v>
      </c>
      <c r="H443" s="4">
        <v>25.578554990000001</v>
      </c>
      <c r="I443" t="s">
        <v>18</v>
      </c>
      <c r="J443" s="1">
        <v>45374</v>
      </c>
      <c r="K443" s="4" t="str">
        <f>TRIM(CLEAN(Table1[[#This Row],[Region]]))</f>
        <v>Unknown</v>
      </c>
    </row>
    <row r="444" spans="1:11" x14ac:dyDescent="0.3">
      <c r="A444" s="2">
        <v>449</v>
      </c>
      <c r="B444" t="s">
        <v>13</v>
      </c>
      <c r="C444" t="s">
        <v>19</v>
      </c>
      <c r="D444" s="4">
        <v>47.710171389999999</v>
      </c>
      <c r="E444" s="4">
        <v>519.73272629999997</v>
      </c>
      <c r="F444" s="4">
        <v>547.14924740000004</v>
      </c>
      <c r="G444" s="4">
        <v>238.83230140000001</v>
      </c>
      <c r="H444" s="4">
        <v>28.000089859999999</v>
      </c>
      <c r="I444" t="s">
        <v>18</v>
      </c>
      <c r="J444" s="1">
        <v>45375</v>
      </c>
      <c r="K444" s="4" t="str">
        <f>TRIM(CLEAN(Table1[[#This Row],[Region]]))</f>
        <v>East</v>
      </c>
    </row>
    <row r="445" spans="1:11" x14ac:dyDescent="0.3">
      <c r="A445" s="2">
        <v>450</v>
      </c>
      <c r="B445" t="s">
        <v>12</v>
      </c>
      <c r="C445" t="s">
        <v>15</v>
      </c>
      <c r="D445" s="4">
        <v>50.900428380000001</v>
      </c>
      <c r="E445" s="4">
        <v>418.72720429999998</v>
      </c>
      <c r="F445" s="4">
        <v>382.3763581</v>
      </c>
      <c r="G445" s="4">
        <v>197.19328590000001</v>
      </c>
      <c r="H445" s="4">
        <v>24.84928867</v>
      </c>
      <c r="I445" t="s">
        <v>18</v>
      </c>
      <c r="J445" s="1">
        <v>45376</v>
      </c>
      <c r="K445" s="4" t="str">
        <f>TRIM(CLEAN(Table1[[#This Row],[Region]]))</f>
        <v>South</v>
      </c>
    </row>
    <row r="446" spans="1:11" x14ac:dyDescent="0.3">
      <c r="A446" s="2">
        <v>451</v>
      </c>
      <c r="B446" t="s">
        <v>12</v>
      </c>
      <c r="C446" t="s">
        <v>11</v>
      </c>
      <c r="D446" s="4">
        <v>50.539879999999997</v>
      </c>
      <c r="E446" s="4">
        <v>649.85825720000003</v>
      </c>
      <c r="F446" s="4">
        <v>467.83460919999999</v>
      </c>
      <c r="G446" s="4">
        <v>130.5200418</v>
      </c>
      <c r="H446" s="4">
        <v>24.608909149999999</v>
      </c>
      <c r="I446" t="s">
        <v>18</v>
      </c>
      <c r="J446" s="1">
        <v>45377</v>
      </c>
      <c r="K446" s="4" t="str">
        <f>TRIM(CLEAN(Table1[[#This Row],[Region]]))</f>
        <v>South</v>
      </c>
    </row>
    <row r="447" spans="1:11" x14ac:dyDescent="0.3">
      <c r="A447" s="2">
        <v>452</v>
      </c>
      <c r="B447" t="s">
        <v>12</v>
      </c>
      <c r="C447" t="s">
        <v>11</v>
      </c>
      <c r="D447" s="4">
        <v>45.45179684</v>
      </c>
      <c r="E447" s="4">
        <v>624.77568340000005</v>
      </c>
      <c r="F447" s="4">
        <v>420.86727259999998</v>
      </c>
      <c r="G447" s="4">
        <v>252.04570409999999</v>
      </c>
      <c r="H447" s="4">
        <v>31.885451100000001</v>
      </c>
      <c r="I447" t="s">
        <v>16</v>
      </c>
      <c r="J447" s="1">
        <v>45378</v>
      </c>
      <c r="K447" s="4" t="str">
        <f>TRIM(CLEAN(Table1[[#This Row],[Region]]))</f>
        <v>South</v>
      </c>
    </row>
    <row r="448" spans="1:11" x14ac:dyDescent="0.3">
      <c r="A448" s="2">
        <v>453</v>
      </c>
      <c r="B448" t="s">
        <v>14</v>
      </c>
      <c r="C448" t="s">
        <v>15</v>
      </c>
      <c r="D448" s="4">
        <v>41.975072670000003</v>
      </c>
      <c r="E448" s="4">
        <v>618.99113969999996</v>
      </c>
      <c r="F448" s="4">
        <v>796.02455280000004</v>
      </c>
      <c r="G448" s="4">
        <v>162.648034</v>
      </c>
      <c r="H448" s="4">
        <v>28.224417169999999</v>
      </c>
      <c r="I448" t="s">
        <v>20</v>
      </c>
      <c r="J448" s="1">
        <v>45379</v>
      </c>
      <c r="K448" s="4" t="str">
        <f>TRIM(CLEAN(Table1[[#This Row],[Region]]))</f>
        <v>North</v>
      </c>
    </row>
    <row r="449" spans="1:11" x14ac:dyDescent="0.3">
      <c r="A449" s="2">
        <v>454</v>
      </c>
      <c r="B449" t="s">
        <v>14</v>
      </c>
      <c r="C449" t="s">
        <v>20</v>
      </c>
      <c r="D449" s="4">
        <v>62.988113249999998</v>
      </c>
      <c r="E449" s="4">
        <v>601.36757409999996</v>
      </c>
      <c r="F449" s="4">
        <v>543.80938600000002</v>
      </c>
      <c r="G449" s="4">
        <v>202.17927990000001</v>
      </c>
      <c r="H449" s="4">
        <v>23.50181165</v>
      </c>
      <c r="I449" t="s">
        <v>18</v>
      </c>
      <c r="J449" s="1">
        <v>45380</v>
      </c>
      <c r="K449" s="4" t="str">
        <f>TRIM(CLEAN(Table1[[#This Row],[Region]]))</f>
        <v>North</v>
      </c>
    </row>
    <row r="450" spans="1:11" x14ac:dyDescent="0.3">
      <c r="A450" s="2">
        <v>455</v>
      </c>
      <c r="B450" t="s">
        <v>14</v>
      </c>
      <c r="C450" t="s">
        <v>11</v>
      </c>
      <c r="D450" s="4">
        <v>40.190825570000001</v>
      </c>
      <c r="E450" s="4">
        <v>342.50205310000001</v>
      </c>
      <c r="F450" s="4">
        <v>502.41144659999998</v>
      </c>
      <c r="G450" s="4">
        <v>196.5930443</v>
      </c>
      <c r="H450" s="4">
        <v>40.88526324</v>
      </c>
      <c r="I450" t="s">
        <v>16</v>
      </c>
      <c r="J450" s="1">
        <v>45381</v>
      </c>
      <c r="K450" s="4" t="str">
        <f>TRIM(CLEAN(Table1[[#This Row],[Region]]))</f>
        <v>North</v>
      </c>
    </row>
    <row r="451" spans="1:11" x14ac:dyDescent="0.3">
      <c r="A451" s="2">
        <v>456</v>
      </c>
      <c r="B451" t="s">
        <v>13</v>
      </c>
      <c r="C451" t="s">
        <v>17</v>
      </c>
      <c r="D451" s="4">
        <v>36.720819280000001</v>
      </c>
      <c r="E451" s="4">
        <v>592.60623780000003</v>
      </c>
      <c r="F451" s="4">
        <v>536.71956669999997</v>
      </c>
      <c r="G451" s="4">
        <v>211.50505870000001</v>
      </c>
      <c r="H451" s="4">
        <v>24.376724800000002</v>
      </c>
      <c r="I451" t="s">
        <v>20</v>
      </c>
      <c r="J451" s="1">
        <v>45382</v>
      </c>
      <c r="K451" s="4" t="str">
        <f>TRIM(CLEAN(Table1[[#This Row],[Region]]))</f>
        <v>East</v>
      </c>
    </row>
    <row r="452" spans="1:11" x14ac:dyDescent="0.3">
      <c r="A452" s="2">
        <v>457</v>
      </c>
      <c r="B452" t="s">
        <v>21</v>
      </c>
      <c r="C452" t="s">
        <v>19</v>
      </c>
      <c r="D452" s="4">
        <v>56.802653790000001</v>
      </c>
      <c r="E452" s="4">
        <v>565.56014279999999</v>
      </c>
      <c r="F452" s="4">
        <v>645.49951060000001</v>
      </c>
      <c r="G452" s="4">
        <v>90.446296369999999</v>
      </c>
      <c r="H452" s="4">
        <v>35.460514809999999</v>
      </c>
      <c r="I452" t="s">
        <v>18</v>
      </c>
      <c r="J452" s="1">
        <v>45383</v>
      </c>
      <c r="K452" s="4" t="str">
        <f>TRIM(CLEAN(Table1[[#This Row],[Region]]))</f>
        <v>South</v>
      </c>
    </row>
    <row r="453" spans="1:11" x14ac:dyDescent="0.3">
      <c r="A453" s="2">
        <v>458</v>
      </c>
      <c r="B453" t="s">
        <v>20</v>
      </c>
      <c r="C453" t="s">
        <v>17</v>
      </c>
      <c r="D453" s="4">
        <v>61.578148419999998</v>
      </c>
      <c r="E453" s="4">
        <v>346.34763850000002</v>
      </c>
      <c r="F453" s="4">
        <v>469.99438270000002</v>
      </c>
      <c r="G453" s="4">
        <v>183.24502609999999</v>
      </c>
      <c r="H453" s="4">
        <v>22.617681789999999</v>
      </c>
      <c r="I453" t="s">
        <v>16</v>
      </c>
      <c r="J453" s="1">
        <v>45384</v>
      </c>
      <c r="K453" s="4" t="str">
        <f>TRIM(CLEAN(Table1[[#This Row],[Region]]))</f>
        <v>Unknown</v>
      </c>
    </row>
    <row r="454" spans="1:11" x14ac:dyDescent="0.3">
      <c r="A454" s="2">
        <v>459</v>
      </c>
      <c r="B454" t="s">
        <v>14</v>
      </c>
      <c r="C454" t="s">
        <v>11</v>
      </c>
      <c r="D454" s="4">
        <v>45.48590342</v>
      </c>
      <c r="E454" s="4">
        <v>478.50896449999999</v>
      </c>
      <c r="F454" s="4">
        <v>409.21088429999998</v>
      </c>
      <c r="G454" s="4">
        <v>256.24185299999999</v>
      </c>
      <c r="H454" s="4">
        <v>32.282511679999999</v>
      </c>
      <c r="I454" t="s">
        <v>20</v>
      </c>
      <c r="J454" s="1">
        <v>45385</v>
      </c>
      <c r="K454" s="4" t="str">
        <f>TRIM(CLEAN(Table1[[#This Row],[Region]]))</f>
        <v>North</v>
      </c>
    </row>
    <row r="455" spans="1:11" x14ac:dyDescent="0.3">
      <c r="A455" s="2">
        <v>460</v>
      </c>
      <c r="B455" t="s">
        <v>12</v>
      </c>
      <c r="C455" t="s">
        <v>19</v>
      </c>
      <c r="D455" s="4">
        <v>45.639465119999997</v>
      </c>
      <c r="E455" s="4">
        <v>527.67934490000005</v>
      </c>
      <c r="F455" s="4">
        <v>581.31398739999997</v>
      </c>
      <c r="G455" s="4">
        <v>263.27227599999998</v>
      </c>
      <c r="H455" s="4">
        <v>28.74719816</v>
      </c>
      <c r="I455" t="s">
        <v>16</v>
      </c>
      <c r="J455" s="1">
        <v>45386</v>
      </c>
      <c r="K455" s="4" t="str">
        <f>TRIM(CLEAN(Table1[[#This Row],[Region]]))</f>
        <v>South</v>
      </c>
    </row>
    <row r="456" spans="1:11" x14ac:dyDescent="0.3">
      <c r="A456" s="2">
        <v>461</v>
      </c>
      <c r="B456" t="s">
        <v>20</v>
      </c>
      <c r="C456" t="s">
        <v>19</v>
      </c>
      <c r="D456" s="4">
        <v>52.825435259999999</v>
      </c>
      <c r="E456" s="4">
        <v>666.43170980000002</v>
      </c>
      <c r="F456" s="4">
        <v>459.0066521</v>
      </c>
      <c r="G456" s="4">
        <v>150.43548089999999</v>
      </c>
      <c r="H456" s="4">
        <v>26.85471634</v>
      </c>
      <c r="I456" t="s">
        <v>18</v>
      </c>
      <c r="J456" s="1">
        <v>45387</v>
      </c>
      <c r="K456" s="4" t="str">
        <f>TRIM(CLEAN(Table1[[#This Row],[Region]]))</f>
        <v>Unknown</v>
      </c>
    </row>
    <row r="457" spans="1:11" x14ac:dyDescent="0.3">
      <c r="A457" s="2">
        <v>462</v>
      </c>
      <c r="B457" t="s">
        <v>12</v>
      </c>
      <c r="C457" t="s">
        <v>19</v>
      </c>
      <c r="D457" s="4">
        <v>42.921473229999997</v>
      </c>
      <c r="E457" s="4">
        <v>572.47238579999998</v>
      </c>
      <c r="F457" s="4">
        <v>351.61256049999997</v>
      </c>
      <c r="G457" s="4">
        <v>246.02991209999999</v>
      </c>
      <c r="H457" s="4">
        <v>30.983711620000001</v>
      </c>
      <c r="I457" t="s">
        <v>16</v>
      </c>
      <c r="J457" s="1">
        <v>45388</v>
      </c>
      <c r="K457" s="4" t="str">
        <f>TRIM(CLEAN(Table1[[#This Row],[Region]]))</f>
        <v>South</v>
      </c>
    </row>
    <row r="458" spans="1:11" x14ac:dyDescent="0.3">
      <c r="A458" s="2">
        <v>463</v>
      </c>
      <c r="B458" t="s">
        <v>13</v>
      </c>
      <c r="C458" t="s">
        <v>15</v>
      </c>
      <c r="D458" s="4">
        <v>42.18287479</v>
      </c>
      <c r="E458" s="4">
        <v>413.54342730000002</v>
      </c>
      <c r="F458" s="4">
        <v>328.23762820000002</v>
      </c>
      <c r="G458" s="4">
        <v>161.92851229999999</v>
      </c>
      <c r="H458" s="4">
        <v>30.31129928</v>
      </c>
      <c r="I458" t="s">
        <v>18</v>
      </c>
      <c r="J458" s="1">
        <v>45389</v>
      </c>
      <c r="K458" s="4" t="str">
        <f>TRIM(CLEAN(Table1[[#This Row],[Region]]))</f>
        <v>East</v>
      </c>
    </row>
    <row r="459" spans="1:11" x14ac:dyDescent="0.3">
      <c r="A459" s="2">
        <v>464</v>
      </c>
      <c r="B459" t="s">
        <v>12</v>
      </c>
      <c r="C459" t="s">
        <v>15</v>
      </c>
      <c r="D459" s="4">
        <v>58.795925879999999</v>
      </c>
      <c r="E459" s="4">
        <v>669.53884579999999</v>
      </c>
      <c r="F459" s="4">
        <v>663.51558609999995</v>
      </c>
      <c r="G459" s="4">
        <v>181.27338700000001</v>
      </c>
      <c r="H459" s="4">
        <v>25.937674080000001</v>
      </c>
      <c r="I459" t="s">
        <v>18</v>
      </c>
      <c r="J459" s="1">
        <v>45390</v>
      </c>
      <c r="K459" s="4" t="str">
        <f>TRIM(CLEAN(Table1[[#This Row],[Region]]))</f>
        <v>South</v>
      </c>
    </row>
    <row r="460" spans="1:11" x14ac:dyDescent="0.3">
      <c r="A460" s="2">
        <v>465</v>
      </c>
      <c r="B460" t="s">
        <v>14</v>
      </c>
      <c r="C460" t="s">
        <v>19</v>
      </c>
      <c r="D460" s="4">
        <v>56.071311010000002</v>
      </c>
      <c r="E460" s="4">
        <v>504.3779763</v>
      </c>
      <c r="F460" s="4">
        <v>495.797348</v>
      </c>
      <c r="G460" s="4">
        <v>183.90078170000001</v>
      </c>
      <c r="H460" s="4">
        <v>25.711305599999999</v>
      </c>
      <c r="I460" t="s">
        <v>18</v>
      </c>
      <c r="J460" s="1">
        <v>45391</v>
      </c>
      <c r="K460" s="4" t="str">
        <f>TRIM(CLEAN(Table1[[#This Row],[Region]]))</f>
        <v>North</v>
      </c>
    </row>
    <row r="461" spans="1:11" x14ac:dyDescent="0.3">
      <c r="A461" s="2">
        <v>466</v>
      </c>
      <c r="B461" t="s">
        <v>14</v>
      </c>
      <c r="C461" t="s">
        <v>20</v>
      </c>
      <c r="D461" s="4">
        <v>63.111588859999998</v>
      </c>
      <c r="E461" s="4">
        <v>474.41588630000001</v>
      </c>
      <c r="F461" s="4">
        <v>409.25191389999998</v>
      </c>
      <c r="G461" s="4">
        <v>205.44018550000001</v>
      </c>
      <c r="H461" s="4">
        <v>22.130428940000002</v>
      </c>
      <c r="I461" t="s">
        <v>20</v>
      </c>
      <c r="J461" s="1">
        <v>45392</v>
      </c>
      <c r="K461" s="4" t="str">
        <f>TRIM(CLEAN(Table1[[#This Row],[Region]]))</f>
        <v>North</v>
      </c>
    </row>
    <row r="462" spans="1:11" x14ac:dyDescent="0.3">
      <c r="A462" s="2">
        <v>467</v>
      </c>
      <c r="B462" t="s">
        <v>10</v>
      </c>
      <c r="C462" t="s">
        <v>19</v>
      </c>
      <c r="D462" s="4">
        <v>37.47410988</v>
      </c>
      <c r="E462" s="4">
        <v>467.28818030000002</v>
      </c>
      <c r="F462" s="4">
        <v>451.87981070000001</v>
      </c>
      <c r="G462" s="4">
        <v>250.0683228</v>
      </c>
      <c r="H462" s="4">
        <v>31.527821920000001</v>
      </c>
      <c r="I462" t="s">
        <v>16</v>
      </c>
      <c r="J462" s="1">
        <v>45393</v>
      </c>
      <c r="K462" s="4" t="str">
        <f>TRIM(CLEAN(Table1[[#This Row],[Region]]))</f>
        <v>West</v>
      </c>
    </row>
    <row r="463" spans="1:11" x14ac:dyDescent="0.3">
      <c r="A463" s="2">
        <v>468</v>
      </c>
      <c r="B463" t="s">
        <v>12</v>
      </c>
      <c r="C463" t="s">
        <v>19</v>
      </c>
      <c r="D463" s="4">
        <v>44.975375130000003</v>
      </c>
      <c r="E463" s="4">
        <v>337.64447619999999</v>
      </c>
      <c r="F463" s="4">
        <v>576.89336619999995</v>
      </c>
      <c r="G463" s="4">
        <v>213.22922679999999</v>
      </c>
      <c r="H463" s="4">
        <v>23.730975860000001</v>
      </c>
      <c r="I463" t="s">
        <v>18</v>
      </c>
      <c r="J463" s="1">
        <v>45394</v>
      </c>
      <c r="K463" s="4" t="str">
        <f>TRIM(CLEAN(Table1[[#This Row],[Region]]))</f>
        <v>South</v>
      </c>
    </row>
    <row r="464" spans="1:11" x14ac:dyDescent="0.3">
      <c r="A464" s="2">
        <v>469</v>
      </c>
      <c r="B464" t="s">
        <v>20</v>
      </c>
      <c r="C464" t="s">
        <v>15</v>
      </c>
      <c r="D464" s="4">
        <v>52.811795619999998</v>
      </c>
      <c r="E464" s="4">
        <v>489.02304959999998</v>
      </c>
      <c r="F464" s="4">
        <v>444.79133810000002</v>
      </c>
      <c r="G464" s="4">
        <v>193.693412</v>
      </c>
      <c r="H464" s="4">
        <v>30.019874779999999</v>
      </c>
      <c r="I464" t="s">
        <v>18</v>
      </c>
      <c r="J464" s="1">
        <v>45395</v>
      </c>
      <c r="K464" s="4" t="str">
        <f>TRIM(CLEAN(Table1[[#This Row],[Region]]))</f>
        <v>Unknown</v>
      </c>
    </row>
    <row r="465" spans="1:11" x14ac:dyDescent="0.3">
      <c r="A465" s="2">
        <v>470</v>
      </c>
      <c r="B465" t="s">
        <v>14</v>
      </c>
      <c r="C465" t="s">
        <v>15</v>
      </c>
      <c r="D465" s="4">
        <v>40.7437915</v>
      </c>
      <c r="E465" s="4">
        <v>549.74852569999996</v>
      </c>
      <c r="F465" s="4">
        <v>306.06963250000001</v>
      </c>
      <c r="G465" s="4">
        <v>248.3655617</v>
      </c>
      <c r="H465" s="4">
        <v>32.96238992</v>
      </c>
      <c r="I465" t="s">
        <v>20</v>
      </c>
      <c r="J465" s="1">
        <v>45396</v>
      </c>
      <c r="K465" s="4" t="str">
        <f>TRIM(CLEAN(Table1[[#This Row],[Region]]))</f>
        <v>North</v>
      </c>
    </row>
    <row r="466" spans="1:11" x14ac:dyDescent="0.3">
      <c r="A466" s="2">
        <v>471</v>
      </c>
      <c r="B466" t="s">
        <v>10</v>
      </c>
      <c r="C466" t="s">
        <v>19</v>
      </c>
      <c r="D466" s="4">
        <v>56.416874370000002</v>
      </c>
      <c r="E466" s="4">
        <v>461.46166720000002</v>
      </c>
      <c r="F466" s="4">
        <v>519.10090230000003</v>
      </c>
      <c r="G466" s="4">
        <v>159.8669305</v>
      </c>
      <c r="H466" s="4">
        <v>31.04027516</v>
      </c>
      <c r="I466" t="s">
        <v>18</v>
      </c>
      <c r="J466" s="1">
        <v>45397</v>
      </c>
      <c r="K466" s="4" t="str">
        <f>TRIM(CLEAN(Table1[[#This Row],[Region]]))</f>
        <v>West</v>
      </c>
    </row>
    <row r="467" spans="1:11" x14ac:dyDescent="0.3">
      <c r="A467" s="2">
        <v>472</v>
      </c>
      <c r="B467" t="s">
        <v>14</v>
      </c>
      <c r="C467" t="s">
        <v>17</v>
      </c>
      <c r="D467" s="4">
        <v>62.246270869999996</v>
      </c>
      <c r="E467" s="4">
        <v>542.0452477</v>
      </c>
      <c r="F467" s="4">
        <v>625.00173810000001</v>
      </c>
      <c r="G467" s="4">
        <v>196.13912780000001</v>
      </c>
      <c r="H467" s="4">
        <v>26.384343510000001</v>
      </c>
      <c r="I467" t="s">
        <v>16</v>
      </c>
      <c r="J467" s="1">
        <v>45398</v>
      </c>
      <c r="K467" s="4" t="str">
        <f>TRIM(CLEAN(Table1[[#This Row],[Region]]))</f>
        <v>North</v>
      </c>
    </row>
    <row r="468" spans="1:11" x14ac:dyDescent="0.3">
      <c r="A468" s="2">
        <v>473</v>
      </c>
      <c r="B468" t="s">
        <v>10</v>
      </c>
      <c r="C468" t="s">
        <v>11</v>
      </c>
      <c r="D468" s="4">
        <v>44.166420279999997</v>
      </c>
      <c r="E468" s="4">
        <v>413.5608929</v>
      </c>
      <c r="F468" s="4">
        <v>616.97571819999996</v>
      </c>
      <c r="G468" s="4">
        <v>249.78906140000001</v>
      </c>
      <c r="H468" s="4">
        <v>34.544062060000002</v>
      </c>
      <c r="I468" t="s">
        <v>18</v>
      </c>
      <c r="J468" s="1">
        <v>45399</v>
      </c>
      <c r="K468" s="4" t="str">
        <f>TRIM(CLEAN(Table1[[#This Row],[Region]]))</f>
        <v>West</v>
      </c>
    </row>
    <row r="469" spans="1:11" x14ac:dyDescent="0.3">
      <c r="A469" s="2">
        <v>474</v>
      </c>
      <c r="B469" t="s">
        <v>14</v>
      </c>
      <c r="C469" t="s">
        <v>15</v>
      </c>
      <c r="D469" s="4">
        <v>178.93749260000001</v>
      </c>
      <c r="E469" s="4">
        <v>485.90720859999999</v>
      </c>
      <c r="F469" s="4">
        <v>412.88040740000002</v>
      </c>
      <c r="G469" s="4">
        <v>226.46531060000001</v>
      </c>
      <c r="H469" s="4">
        <v>27.960142609999998</v>
      </c>
      <c r="I469" t="s">
        <v>18</v>
      </c>
      <c r="J469" s="1">
        <v>45400</v>
      </c>
      <c r="K469" s="4" t="str">
        <f>TRIM(CLEAN(Table1[[#This Row],[Region]]))</f>
        <v>North</v>
      </c>
    </row>
    <row r="470" spans="1:11" x14ac:dyDescent="0.3">
      <c r="A470" s="2">
        <v>475</v>
      </c>
      <c r="B470" t="s">
        <v>21</v>
      </c>
      <c r="C470" t="s">
        <v>20</v>
      </c>
      <c r="D470" s="4">
        <v>64.5561869</v>
      </c>
      <c r="E470" s="4">
        <v>531.65403270000002</v>
      </c>
      <c r="F470" s="4">
        <v>632.30071880000003</v>
      </c>
      <c r="G470" s="4">
        <v>176.68480109999999</v>
      </c>
      <c r="H470" s="4">
        <v>23.329196199999998</v>
      </c>
      <c r="I470" t="s">
        <v>18</v>
      </c>
      <c r="J470" s="1">
        <v>45401</v>
      </c>
      <c r="K470" s="4" t="str">
        <f>TRIM(CLEAN(Table1[[#This Row],[Region]]))</f>
        <v>South</v>
      </c>
    </row>
    <row r="471" spans="1:11" x14ac:dyDescent="0.3">
      <c r="A471" s="2">
        <v>476</v>
      </c>
      <c r="B471" t="s">
        <v>21</v>
      </c>
      <c r="C471" t="s">
        <v>20</v>
      </c>
      <c r="D471" s="4">
        <v>67.992715750000002</v>
      </c>
      <c r="E471" s="4">
        <v>518.9660877</v>
      </c>
      <c r="F471" s="4">
        <v>505.55399679999999</v>
      </c>
      <c r="G471" s="4">
        <v>124.3521617</v>
      </c>
      <c r="H471" s="4">
        <v>28.581362479999999</v>
      </c>
      <c r="I471" t="s">
        <v>18</v>
      </c>
      <c r="J471" s="1">
        <v>45402</v>
      </c>
      <c r="K471" s="4" t="str">
        <f>TRIM(CLEAN(Table1[[#This Row],[Region]]))</f>
        <v>South</v>
      </c>
    </row>
    <row r="472" spans="1:11" x14ac:dyDescent="0.3">
      <c r="A472" s="2">
        <v>477</v>
      </c>
      <c r="B472" t="s">
        <v>10</v>
      </c>
      <c r="C472" t="s">
        <v>15</v>
      </c>
      <c r="D472" s="4">
        <v>57.458012510000003</v>
      </c>
      <c r="E472" s="4">
        <v>339.45349099999999</v>
      </c>
      <c r="F472" s="4">
        <v>628.93768130000001</v>
      </c>
      <c r="G472" s="4">
        <v>215.54290950000001</v>
      </c>
      <c r="H472" s="4">
        <v>32.93398689</v>
      </c>
      <c r="I472" t="s">
        <v>18</v>
      </c>
      <c r="J472" s="1">
        <v>45403</v>
      </c>
      <c r="K472" s="4" t="str">
        <f>TRIM(CLEAN(Table1[[#This Row],[Region]]))</f>
        <v>West</v>
      </c>
    </row>
    <row r="473" spans="1:11" x14ac:dyDescent="0.3">
      <c r="A473" s="2">
        <v>478</v>
      </c>
      <c r="B473" t="s">
        <v>13</v>
      </c>
      <c r="C473" t="s">
        <v>20</v>
      </c>
      <c r="D473" s="4">
        <v>55.934291729999998</v>
      </c>
      <c r="E473" s="4">
        <v>456.09940490000002</v>
      </c>
      <c r="F473" s="4">
        <v>548.84244360000002</v>
      </c>
      <c r="G473" s="4">
        <v>121.0662399</v>
      </c>
      <c r="H473" s="4">
        <v>26.627928430000001</v>
      </c>
      <c r="I473" t="s">
        <v>18</v>
      </c>
      <c r="J473" s="1">
        <v>45404</v>
      </c>
      <c r="K473" s="4" t="str">
        <f>TRIM(CLEAN(Table1[[#This Row],[Region]]))</f>
        <v>East</v>
      </c>
    </row>
    <row r="474" spans="1:11" x14ac:dyDescent="0.3">
      <c r="A474" s="2">
        <v>479</v>
      </c>
      <c r="B474" t="s">
        <v>20</v>
      </c>
      <c r="C474" t="s">
        <v>17</v>
      </c>
      <c r="D474" s="4">
        <v>41.462634649999998</v>
      </c>
      <c r="E474" s="4">
        <v>667.74629300000004</v>
      </c>
      <c r="F474" s="4">
        <v>297.4083789</v>
      </c>
      <c r="G474" s="4">
        <v>189.37493180000001</v>
      </c>
      <c r="H474" s="4">
        <v>34.390912069999999</v>
      </c>
      <c r="I474" t="s">
        <v>18</v>
      </c>
      <c r="J474" s="1">
        <v>45405</v>
      </c>
      <c r="K474" s="4" t="str">
        <f>TRIM(CLEAN(Table1[[#This Row],[Region]]))</f>
        <v>Unknown</v>
      </c>
    </row>
    <row r="475" spans="1:11" x14ac:dyDescent="0.3">
      <c r="A475" s="2">
        <v>480</v>
      </c>
      <c r="B475" t="s">
        <v>20</v>
      </c>
      <c r="C475" t="s">
        <v>19</v>
      </c>
      <c r="D475" s="4">
        <v>53.592094000000003</v>
      </c>
      <c r="E475" s="4">
        <v>450.75539259999999</v>
      </c>
      <c r="F475" s="4">
        <v>689.60867250000001</v>
      </c>
      <c r="G475" s="4">
        <v>258.94742000000002</v>
      </c>
      <c r="H475" s="4">
        <v>26.148369670000001</v>
      </c>
      <c r="I475" t="s">
        <v>20</v>
      </c>
      <c r="J475" s="1">
        <v>45406</v>
      </c>
      <c r="K475" s="4" t="str">
        <f>TRIM(CLEAN(Table1[[#This Row],[Region]]))</f>
        <v>Unknown</v>
      </c>
    </row>
    <row r="476" spans="1:11" x14ac:dyDescent="0.3">
      <c r="A476" s="2">
        <v>481</v>
      </c>
      <c r="B476" t="s">
        <v>10</v>
      </c>
      <c r="C476" t="s">
        <v>20</v>
      </c>
      <c r="D476" s="4">
        <v>55.568208409999997</v>
      </c>
      <c r="E476" s="4">
        <v>501.58075439999999</v>
      </c>
      <c r="F476" s="4">
        <v>486.21406209999998</v>
      </c>
      <c r="G476" s="4">
        <v>229.83793230000001</v>
      </c>
      <c r="H476" s="4">
        <v>26.828934029999999</v>
      </c>
      <c r="I476" t="s">
        <v>16</v>
      </c>
      <c r="J476" s="1">
        <v>45407</v>
      </c>
      <c r="K476" s="4" t="str">
        <f>TRIM(CLEAN(Table1[[#This Row],[Region]]))</f>
        <v>West</v>
      </c>
    </row>
    <row r="477" spans="1:11" x14ac:dyDescent="0.3">
      <c r="A477" s="2">
        <v>482</v>
      </c>
      <c r="B477" t="s">
        <v>12</v>
      </c>
      <c r="C477" t="s">
        <v>19</v>
      </c>
      <c r="D477" s="4">
        <v>47.89629841</v>
      </c>
      <c r="E477" s="4">
        <v>491.3244249</v>
      </c>
      <c r="F477" s="4">
        <v>549.21525889999998</v>
      </c>
      <c r="G477" s="4">
        <v>98.817301099999995</v>
      </c>
      <c r="H477" s="4">
        <v>24.769604919999999</v>
      </c>
      <c r="I477" t="s">
        <v>20</v>
      </c>
      <c r="J477" s="1">
        <v>45408</v>
      </c>
      <c r="K477" s="4" t="str">
        <f>TRIM(CLEAN(Table1[[#This Row],[Region]]))</f>
        <v>South</v>
      </c>
    </row>
    <row r="478" spans="1:11" x14ac:dyDescent="0.3">
      <c r="A478" s="2">
        <v>483</v>
      </c>
      <c r="B478" t="s">
        <v>12</v>
      </c>
      <c r="C478" t="s">
        <v>20</v>
      </c>
      <c r="D478" s="4">
        <v>44.05223745</v>
      </c>
      <c r="E478" s="4">
        <v>656.82397590000005</v>
      </c>
      <c r="F478" s="4">
        <v>318.71464459999999</v>
      </c>
      <c r="G478" s="4">
        <v>210.02257520000001</v>
      </c>
      <c r="H478" s="4">
        <v>33.418547680000003</v>
      </c>
      <c r="I478" t="s">
        <v>18</v>
      </c>
      <c r="J478" s="1">
        <v>45409</v>
      </c>
      <c r="K478" s="4" t="str">
        <f>TRIM(CLEAN(Table1[[#This Row],[Region]]))</f>
        <v>South</v>
      </c>
    </row>
    <row r="479" spans="1:11" x14ac:dyDescent="0.3">
      <c r="A479" s="2">
        <v>484</v>
      </c>
      <c r="B479" t="s">
        <v>20</v>
      </c>
      <c r="C479" t="s">
        <v>11</v>
      </c>
      <c r="D479" s="4">
        <v>37.187023269999997</v>
      </c>
      <c r="E479" s="4">
        <v>629.03681219999999</v>
      </c>
      <c r="F479" s="4">
        <v>540.63918000000001</v>
      </c>
      <c r="G479" s="4">
        <v>184.04150430000001</v>
      </c>
      <c r="H479" s="4">
        <v>29.733787150000001</v>
      </c>
      <c r="I479" t="s">
        <v>20</v>
      </c>
      <c r="J479" s="1">
        <v>45410</v>
      </c>
      <c r="K479" s="4" t="str">
        <f>TRIM(CLEAN(Table1[[#This Row],[Region]]))</f>
        <v>Unknown</v>
      </c>
    </row>
    <row r="480" spans="1:11" x14ac:dyDescent="0.3">
      <c r="A480" s="2">
        <v>485</v>
      </c>
      <c r="B480" t="s">
        <v>20</v>
      </c>
      <c r="C480" t="s">
        <v>11</v>
      </c>
      <c r="D480" s="4">
        <v>32.622702449999998</v>
      </c>
      <c r="E480" s="4">
        <v>580.75310000000002</v>
      </c>
      <c r="F480" s="4">
        <v>612.3513279</v>
      </c>
      <c r="G480" s="4">
        <v>136.31413000000001</v>
      </c>
      <c r="H480" s="4">
        <v>25.101190259999999</v>
      </c>
      <c r="I480" t="s">
        <v>16</v>
      </c>
      <c r="J480" s="1">
        <v>45411</v>
      </c>
      <c r="K480" s="4" t="str">
        <f>TRIM(CLEAN(Table1[[#This Row],[Region]]))</f>
        <v>Unknown</v>
      </c>
    </row>
    <row r="481" spans="1:11" x14ac:dyDescent="0.3">
      <c r="A481" s="2">
        <v>486</v>
      </c>
      <c r="B481" t="s">
        <v>21</v>
      </c>
      <c r="C481" t="s">
        <v>19</v>
      </c>
      <c r="D481" s="4">
        <v>30.52116487</v>
      </c>
      <c r="E481" s="4">
        <v>402.67576869999999</v>
      </c>
      <c r="F481" s="4">
        <v>712.23844039999994</v>
      </c>
      <c r="G481" s="4">
        <v>216.75106479999999</v>
      </c>
      <c r="H481" s="4">
        <v>29.664100000000001</v>
      </c>
      <c r="I481" t="s">
        <v>18</v>
      </c>
      <c r="J481" s="1">
        <v>45412</v>
      </c>
      <c r="K481" s="4" t="str">
        <f>TRIM(CLEAN(Table1[[#This Row],[Region]]))</f>
        <v>South</v>
      </c>
    </row>
    <row r="482" spans="1:11" x14ac:dyDescent="0.3">
      <c r="A482" s="2">
        <v>487</v>
      </c>
      <c r="B482" t="s">
        <v>13</v>
      </c>
      <c r="C482" t="s">
        <v>19</v>
      </c>
      <c r="D482" s="4">
        <v>55.79442573</v>
      </c>
      <c r="E482" s="4">
        <v>535.91830489999995</v>
      </c>
      <c r="F482" s="4">
        <v>648.04797540000004</v>
      </c>
      <c r="G482" s="4">
        <v>175.41310759999999</v>
      </c>
      <c r="H482" s="4">
        <v>14.644245059999999</v>
      </c>
      <c r="I482" t="s">
        <v>16</v>
      </c>
      <c r="J482" s="1">
        <v>45413</v>
      </c>
      <c r="K482" s="4" t="str">
        <f>TRIM(CLEAN(Table1[[#This Row],[Region]]))</f>
        <v>East</v>
      </c>
    </row>
    <row r="483" spans="1:11" x14ac:dyDescent="0.3">
      <c r="A483" s="2">
        <v>488</v>
      </c>
      <c r="B483" t="s">
        <v>14</v>
      </c>
      <c r="C483" t="s">
        <v>15</v>
      </c>
      <c r="D483" s="4">
        <v>228.69909820000001</v>
      </c>
      <c r="E483" s="4">
        <v>556.79417430000001</v>
      </c>
      <c r="F483" s="4">
        <v>546.50696449999998</v>
      </c>
      <c r="G483" s="4">
        <v>175.72329809999999</v>
      </c>
      <c r="H483" s="4">
        <v>33.88986182</v>
      </c>
      <c r="I483" t="s">
        <v>16</v>
      </c>
      <c r="J483" s="1">
        <v>45414</v>
      </c>
      <c r="K483" s="4" t="str">
        <f>TRIM(CLEAN(Table1[[#This Row],[Region]]))</f>
        <v>North</v>
      </c>
    </row>
    <row r="484" spans="1:11" x14ac:dyDescent="0.3">
      <c r="A484" s="2">
        <v>489</v>
      </c>
      <c r="B484" t="s">
        <v>12</v>
      </c>
      <c r="C484" t="s">
        <v>19</v>
      </c>
      <c r="D484" s="4">
        <v>45.161888679999997</v>
      </c>
      <c r="E484" s="4">
        <v>430.13951639999999</v>
      </c>
      <c r="F484" s="4">
        <v>294.67471760000001</v>
      </c>
      <c r="G484" s="4">
        <v>206.20225590000001</v>
      </c>
      <c r="H484" s="4">
        <v>29.146266799999999</v>
      </c>
      <c r="I484" t="s">
        <v>18</v>
      </c>
      <c r="J484" s="1">
        <v>45415</v>
      </c>
      <c r="K484" s="4" t="str">
        <f>TRIM(CLEAN(Table1[[#This Row],[Region]]))</f>
        <v>South</v>
      </c>
    </row>
    <row r="485" spans="1:11" x14ac:dyDescent="0.3">
      <c r="A485" s="2">
        <v>490</v>
      </c>
      <c r="B485" t="s">
        <v>20</v>
      </c>
      <c r="C485" t="s">
        <v>15</v>
      </c>
      <c r="D485" s="4">
        <v>46.685437020000002</v>
      </c>
      <c r="E485" s="4">
        <v>412.94828940000002</v>
      </c>
      <c r="F485" s="4">
        <v>495.87273490000001</v>
      </c>
      <c r="G485" s="4">
        <v>199.07849999999999</v>
      </c>
      <c r="H485" s="4">
        <v>17.968809239999999</v>
      </c>
      <c r="I485" t="s">
        <v>18</v>
      </c>
      <c r="J485" s="1">
        <v>45416</v>
      </c>
      <c r="K485" s="4" t="str">
        <f>TRIM(CLEAN(Table1[[#This Row],[Region]]))</f>
        <v>Unknown</v>
      </c>
    </row>
    <row r="486" spans="1:11" x14ac:dyDescent="0.3">
      <c r="A486" s="2">
        <v>491</v>
      </c>
      <c r="B486" t="s">
        <v>21</v>
      </c>
      <c r="C486" t="s">
        <v>17</v>
      </c>
      <c r="D486" s="4">
        <v>52.104705420000002</v>
      </c>
      <c r="E486" s="4">
        <v>670.50141470000005</v>
      </c>
      <c r="F486" s="4">
        <v>408.89885220000002</v>
      </c>
      <c r="G486" s="4">
        <v>204.78679170000001</v>
      </c>
      <c r="H486" s="4">
        <v>22.71659279</v>
      </c>
      <c r="I486" t="s">
        <v>16</v>
      </c>
      <c r="J486" s="1">
        <v>45417</v>
      </c>
      <c r="K486" s="4" t="str">
        <f>TRIM(CLEAN(Table1[[#This Row],[Region]]))</f>
        <v>South</v>
      </c>
    </row>
    <row r="487" spans="1:11" x14ac:dyDescent="0.3">
      <c r="A487" s="2">
        <v>492</v>
      </c>
      <c r="B487" t="s">
        <v>14</v>
      </c>
      <c r="C487" t="s">
        <v>19</v>
      </c>
      <c r="D487" s="4">
        <v>48.354369290000001</v>
      </c>
      <c r="E487" s="4">
        <v>469.91966880000001</v>
      </c>
      <c r="F487" s="4">
        <v>508.19734499999998</v>
      </c>
      <c r="G487" s="4">
        <v>170.3337555</v>
      </c>
      <c r="H487" s="4">
        <v>27.892029690000001</v>
      </c>
      <c r="I487" t="s">
        <v>18</v>
      </c>
      <c r="J487" s="1">
        <v>45418</v>
      </c>
      <c r="K487" s="4" t="str">
        <f>TRIM(CLEAN(Table1[[#This Row],[Region]]))</f>
        <v>North</v>
      </c>
    </row>
    <row r="488" spans="1:11" x14ac:dyDescent="0.3">
      <c r="A488" s="2">
        <v>493</v>
      </c>
      <c r="B488" t="s">
        <v>21</v>
      </c>
      <c r="C488" t="s">
        <v>17</v>
      </c>
      <c r="D488" s="4">
        <v>36.594468200000001</v>
      </c>
      <c r="E488" s="4">
        <v>661.49768189999998</v>
      </c>
      <c r="F488" s="4">
        <v>334.04090009999999</v>
      </c>
      <c r="G488" s="4">
        <v>173.07692700000001</v>
      </c>
      <c r="H488" s="4">
        <v>23.429146200000002</v>
      </c>
      <c r="I488" t="s">
        <v>18</v>
      </c>
      <c r="J488" s="1">
        <v>45419</v>
      </c>
      <c r="K488" s="4" t="str">
        <f>TRIM(CLEAN(Table1[[#This Row],[Region]]))</f>
        <v>South</v>
      </c>
    </row>
    <row r="489" spans="1:11" x14ac:dyDescent="0.3">
      <c r="A489" s="2">
        <v>494</v>
      </c>
      <c r="B489" t="s">
        <v>12</v>
      </c>
      <c r="C489" t="s">
        <v>11</v>
      </c>
      <c r="D489" s="4">
        <v>59.1300022</v>
      </c>
      <c r="E489" s="4">
        <v>599.70937549999996</v>
      </c>
      <c r="F489" s="4">
        <v>454.77997110000001</v>
      </c>
      <c r="G489" s="4">
        <v>249.6464885</v>
      </c>
      <c r="H489" s="4">
        <v>33.966746620000002</v>
      </c>
      <c r="I489" t="s">
        <v>16</v>
      </c>
      <c r="J489" s="1">
        <v>45420</v>
      </c>
      <c r="K489" s="4" t="str">
        <f>TRIM(CLEAN(Table1[[#This Row],[Region]]))</f>
        <v>South</v>
      </c>
    </row>
    <row r="490" spans="1:11" x14ac:dyDescent="0.3">
      <c r="A490" s="2">
        <v>495</v>
      </c>
      <c r="B490" t="s">
        <v>12</v>
      </c>
      <c r="C490" t="s">
        <v>11</v>
      </c>
      <c r="D490" s="4">
        <v>53.041261710000001</v>
      </c>
      <c r="E490" s="4">
        <v>540.78767819999996</v>
      </c>
      <c r="F490" s="4">
        <v>417.9380299</v>
      </c>
      <c r="G490" s="4">
        <v>254.7335818</v>
      </c>
      <c r="H490" s="4">
        <v>29.664100000000001</v>
      </c>
      <c r="I490" t="s">
        <v>18</v>
      </c>
      <c r="J490" s="1">
        <v>45421</v>
      </c>
      <c r="K490" s="4" t="str">
        <f>TRIM(CLEAN(Table1[[#This Row],[Region]]))</f>
        <v>South</v>
      </c>
    </row>
    <row r="491" spans="1:11" x14ac:dyDescent="0.3">
      <c r="A491" s="2">
        <v>496</v>
      </c>
      <c r="B491" t="s">
        <v>21</v>
      </c>
      <c r="C491" t="s">
        <v>19</v>
      </c>
      <c r="D491" s="4">
        <v>52.658984799999999</v>
      </c>
      <c r="E491" s="4">
        <v>545.25314360000004</v>
      </c>
      <c r="F491" s="4">
        <v>414.2200373</v>
      </c>
      <c r="G491" s="4">
        <v>114.5672876</v>
      </c>
      <c r="H491" s="4">
        <v>31.797679720000001</v>
      </c>
      <c r="I491" t="s">
        <v>20</v>
      </c>
      <c r="J491" s="1">
        <v>45422</v>
      </c>
      <c r="K491" s="4" t="str">
        <f>TRIM(CLEAN(Table1[[#This Row],[Region]]))</f>
        <v>South</v>
      </c>
    </row>
    <row r="492" spans="1:11" x14ac:dyDescent="0.3">
      <c r="A492" s="2">
        <v>497</v>
      </c>
      <c r="B492" t="s">
        <v>14</v>
      </c>
      <c r="C492" t="s">
        <v>19</v>
      </c>
      <c r="D492" s="4">
        <v>58.375627029999997</v>
      </c>
      <c r="E492" s="4">
        <v>359.95804399999997</v>
      </c>
      <c r="F492" s="4">
        <v>415.41165769999998</v>
      </c>
      <c r="G492" s="4">
        <v>237.3536422</v>
      </c>
      <c r="H492" s="4">
        <v>16.978265319999998</v>
      </c>
      <c r="I492" t="s">
        <v>18</v>
      </c>
      <c r="J492" s="1">
        <v>45423</v>
      </c>
      <c r="K492" s="4" t="str">
        <f>TRIM(CLEAN(Table1[[#This Row],[Region]]))</f>
        <v>North</v>
      </c>
    </row>
    <row r="493" spans="1:11" x14ac:dyDescent="0.3">
      <c r="A493" s="2">
        <v>498</v>
      </c>
      <c r="B493" t="s">
        <v>10</v>
      </c>
      <c r="C493" t="s">
        <v>17</v>
      </c>
      <c r="D493" s="4">
        <v>41.86354644</v>
      </c>
      <c r="E493" s="4">
        <v>520.67747799999995</v>
      </c>
      <c r="F493" s="4">
        <v>463.69743399999999</v>
      </c>
      <c r="G493" s="4">
        <v>269.92955019999999</v>
      </c>
      <c r="H493" s="4">
        <v>27.372707930000001</v>
      </c>
      <c r="I493" t="s">
        <v>16</v>
      </c>
      <c r="J493" s="1">
        <v>45424</v>
      </c>
      <c r="K493" s="4" t="str">
        <f>TRIM(CLEAN(Table1[[#This Row],[Region]]))</f>
        <v>West</v>
      </c>
    </row>
    <row r="494" spans="1:11" x14ac:dyDescent="0.3">
      <c r="A494" s="2">
        <v>499</v>
      </c>
      <c r="B494" t="s">
        <v>12</v>
      </c>
      <c r="C494" t="s">
        <v>15</v>
      </c>
      <c r="D494" s="4">
        <v>62.137314379999999</v>
      </c>
      <c r="E494" s="4">
        <v>641.70204130000002</v>
      </c>
      <c r="F494" s="4">
        <v>514.34337110000001</v>
      </c>
      <c r="G494" s="4">
        <v>277.86884090000001</v>
      </c>
      <c r="H494" s="4">
        <v>26.511917749999999</v>
      </c>
      <c r="I494" t="s">
        <v>16</v>
      </c>
      <c r="J494" s="1">
        <v>45425</v>
      </c>
      <c r="K494" s="4" t="str">
        <f>TRIM(CLEAN(Table1[[#This Row],[Region]]))</f>
        <v>South</v>
      </c>
    </row>
    <row r="495" spans="1:11" x14ac:dyDescent="0.3">
      <c r="A495" s="2">
        <v>500</v>
      </c>
      <c r="B495" t="s">
        <v>21</v>
      </c>
      <c r="C495" t="s">
        <v>11</v>
      </c>
      <c r="D495" s="4">
        <v>48.599571480000002</v>
      </c>
      <c r="E495" s="4">
        <v>568.13395030000004</v>
      </c>
      <c r="F495" s="4">
        <v>180.1807695</v>
      </c>
      <c r="G495" s="4">
        <v>226.01898629999999</v>
      </c>
      <c r="H495" s="4">
        <v>25.22972773</v>
      </c>
      <c r="I495" t="s">
        <v>20</v>
      </c>
      <c r="J495" s="1">
        <v>45426</v>
      </c>
      <c r="K495" s="4" t="str">
        <f>TRIM(CLEAN(Table1[[#This Row],[Region]]))</f>
        <v>South</v>
      </c>
    </row>
    <row r="496" spans="1:11" x14ac:dyDescent="0.3">
      <c r="A496" s="2">
        <v>501</v>
      </c>
      <c r="B496" t="s">
        <v>20</v>
      </c>
      <c r="C496" t="s">
        <v>11</v>
      </c>
      <c r="D496" s="4">
        <v>58.8859888</v>
      </c>
      <c r="E496" s="4">
        <v>515.4336687</v>
      </c>
      <c r="F496" s="4">
        <v>194.82805719999999</v>
      </c>
      <c r="G496" s="4">
        <v>147.1301071</v>
      </c>
      <c r="H496" s="4">
        <v>27.924123590000001</v>
      </c>
      <c r="I496" t="s">
        <v>20</v>
      </c>
      <c r="J496" s="1">
        <v>45427</v>
      </c>
      <c r="K496" s="4" t="str">
        <f>TRIM(CLEAN(Table1[[#This Row],[Region]]))</f>
        <v>Unknown</v>
      </c>
    </row>
    <row r="497" spans="1:11" x14ac:dyDescent="0.3">
      <c r="A497" s="2">
        <v>502</v>
      </c>
      <c r="B497" t="s">
        <v>21</v>
      </c>
      <c r="C497" t="s">
        <v>15</v>
      </c>
      <c r="D497" s="4">
        <v>50.539879999999997</v>
      </c>
      <c r="E497" s="4">
        <v>671.19371960000001</v>
      </c>
      <c r="F497" s="4">
        <v>439.35703919999997</v>
      </c>
      <c r="G497" s="4">
        <v>231.499042</v>
      </c>
      <c r="H497" s="4">
        <v>24.368808959999999</v>
      </c>
      <c r="I497" t="s">
        <v>16</v>
      </c>
      <c r="J497" s="1">
        <v>45428</v>
      </c>
      <c r="K497" s="4" t="str">
        <f>TRIM(CLEAN(Table1[[#This Row],[Region]]))</f>
        <v>South</v>
      </c>
    </row>
    <row r="498" spans="1:11" x14ac:dyDescent="0.3">
      <c r="A498" s="2">
        <v>503</v>
      </c>
      <c r="B498" t="s">
        <v>13</v>
      </c>
      <c r="C498" t="s">
        <v>17</v>
      </c>
      <c r="D498" s="4">
        <v>39.611981720000003</v>
      </c>
      <c r="E498" s="4">
        <v>481.49592769999998</v>
      </c>
      <c r="F498" s="4">
        <v>456.26771459999998</v>
      </c>
      <c r="G498" s="4">
        <v>156.5373822</v>
      </c>
      <c r="H498" s="4">
        <v>31.076103660000001</v>
      </c>
      <c r="I498" t="s">
        <v>18</v>
      </c>
      <c r="J498" s="1">
        <v>45429</v>
      </c>
      <c r="K498" s="4" t="str">
        <f>TRIM(CLEAN(Table1[[#This Row],[Region]]))</f>
        <v>East</v>
      </c>
    </row>
    <row r="499" spans="1:11" x14ac:dyDescent="0.3">
      <c r="A499" s="2">
        <v>504</v>
      </c>
      <c r="B499" t="s">
        <v>10</v>
      </c>
      <c r="C499" t="s">
        <v>17</v>
      </c>
      <c r="D499" s="4">
        <v>55.029004049999998</v>
      </c>
      <c r="E499" s="4">
        <v>438.04443250000003</v>
      </c>
      <c r="F499" s="4">
        <v>502.69334600000002</v>
      </c>
      <c r="G499" s="4">
        <v>182.85174169999999</v>
      </c>
      <c r="H499" s="4">
        <v>33.832756770000003</v>
      </c>
      <c r="I499" t="s">
        <v>18</v>
      </c>
      <c r="J499" s="1">
        <v>45430</v>
      </c>
      <c r="K499" s="4" t="str">
        <f>TRIM(CLEAN(Table1[[#This Row],[Region]]))</f>
        <v>West</v>
      </c>
    </row>
    <row r="500" spans="1:11" x14ac:dyDescent="0.3">
      <c r="A500" s="2">
        <v>505</v>
      </c>
      <c r="B500" t="s">
        <v>14</v>
      </c>
      <c r="C500" t="s">
        <v>19</v>
      </c>
      <c r="D500" s="4">
        <v>53.262746710000002</v>
      </c>
      <c r="E500" s="4">
        <v>515.38319160000003</v>
      </c>
      <c r="F500" s="4">
        <v>392.6793174</v>
      </c>
      <c r="G500" s="4">
        <v>219.15410790000001</v>
      </c>
      <c r="H500" s="4">
        <v>33.401918690000002</v>
      </c>
      <c r="I500" t="s">
        <v>20</v>
      </c>
      <c r="J500" s="1">
        <v>45431</v>
      </c>
      <c r="K500" s="4" t="str">
        <f>TRIM(CLEAN(Table1[[#This Row],[Region]]))</f>
        <v>North</v>
      </c>
    </row>
    <row r="501" spans="1:11" x14ac:dyDescent="0.3">
      <c r="A501" s="2">
        <v>506</v>
      </c>
      <c r="B501" t="s">
        <v>14</v>
      </c>
      <c r="C501" t="s">
        <v>19</v>
      </c>
      <c r="D501" s="4">
        <v>50.30311657</v>
      </c>
      <c r="E501" s="4">
        <v>576.64673679999999</v>
      </c>
      <c r="F501" s="4">
        <v>481.13582330000003</v>
      </c>
      <c r="G501" s="4">
        <v>159.76203269999999</v>
      </c>
      <c r="H501" s="4">
        <v>29.31044374</v>
      </c>
      <c r="I501" t="s">
        <v>20</v>
      </c>
      <c r="J501" s="1">
        <v>45432</v>
      </c>
      <c r="K501" s="4" t="str">
        <f>TRIM(CLEAN(Table1[[#This Row],[Region]]))</f>
        <v>North</v>
      </c>
    </row>
    <row r="502" spans="1:11" x14ac:dyDescent="0.3">
      <c r="A502" s="2">
        <v>507</v>
      </c>
      <c r="B502" t="s">
        <v>14</v>
      </c>
      <c r="C502" t="s">
        <v>20</v>
      </c>
      <c r="D502" s="4">
        <v>49.056282500000002</v>
      </c>
      <c r="E502" s="4">
        <v>328.22059039999999</v>
      </c>
      <c r="F502" s="4">
        <v>495.18278459999999</v>
      </c>
      <c r="G502" s="4">
        <v>142.67998470000001</v>
      </c>
      <c r="H502" s="4">
        <v>39.996198479999997</v>
      </c>
      <c r="I502" t="s">
        <v>20</v>
      </c>
      <c r="J502" s="1">
        <v>45433</v>
      </c>
      <c r="K502" s="4" t="str">
        <f>TRIM(CLEAN(Table1[[#This Row],[Region]]))</f>
        <v>North</v>
      </c>
    </row>
    <row r="503" spans="1:11" x14ac:dyDescent="0.3">
      <c r="A503" s="2">
        <v>508</v>
      </c>
      <c r="B503" t="s">
        <v>10</v>
      </c>
      <c r="C503" t="s">
        <v>20</v>
      </c>
      <c r="D503" s="4">
        <v>49.141067499999998</v>
      </c>
      <c r="E503" s="4">
        <v>528.48686429999998</v>
      </c>
      <c r="F503" s="4">
        <v>391.85302840000003</v>
      </c>
      <c r="G503" s="4">
        <v>223.28866590000001</v>
      </c>
      <c r="H503" s="4">
        <v>35.699875570000003</v>
      </c>
      <c r="I503" t="s">
        <v>16</v>
      </c>
      <c r="J503" s="1">
        <v>45434</v>
      </c>
      <c r="K503" s="4" t="str">
        <f>TRIM(CLEAN(Table1[[#This Row],[Region]]))</f>
        <v>West</v>
      </c>
    </row>
    <row r="504" spans="1:11" x14ac:dyDescent="0.3">
      <c r="A504" s="2">
        <v>509</v>
      </c>
      <c r="B504" t="s">
        <v>10</v>
      </c>
      <c r="C504" t="s">
        <v>19</v>
      </c>
      <c r="D504" s="4">
        <v>58.12689426</v>
      </c>
      <c r="E504" s="4">
        <v>581.0345016</v>
      </c>
      <c r="F504" s="4">
        <v>601.6146986</v>
      </c>
      <c r="G504" s="4">
        <v>293.36121020000002</v>
      </c>
      <c r="H504" s="4">
        <v>29.492208980000001</v>
      </c>
      <c r="I504" t="s">
        <v>18</v>
      </c>
      <c r="J504" s="1">
        <v>45435</v>
      </c>
      <c r="K504" s="4" t="str">
        <f>TRIM(CLEAN(Table1[[#This Row],[Region]]))</f>
        <v>West</v>
      </c>
    </row>
    <row r="505" spans="1:11" x14ac:dyDescent="0.3">
      <c r="A505" s="2">
        <v>510</v>
      </c>
      <c r="B505" t="s">
        <v>10</v>
      </c>
      <c r="C505" t="s">
        <v>11</v>
      </c>
      <c r="D505" s="4">
        <v>55.779105139999999</v>
      </c>
      <c r="E505" s="4">
        <v>473.03583750000001</v>
      </c>
      <c r="F505" s="4">
        <v>501.23835739999998</v>
      </c>
      <c r="G505" s="4">
        <v>262.16171650000001</v>
      </c>
      <c r="H505" s="4">
        <v>27.58863895</v>
      </c>
      <c r="I505" t="s">
        <v>18</v>
      </c>
      <c r="J505" s="1">
        <v>45436</v>
      </c>
      <c r="K505" s="4" t="str">
        <f>TRIM(CLEAN(Table1[[#This Row],[Region]]))</f>
        <v>West</v>
      </c>
    </row>
    <row r="506" spans="1:11" x14ac:dyDescent="0.3">
      <c r="A506" s="2">
        <v>511</v>
      </c>
      <c r="B506" t="s">
        <v>14</v>
      </c>
      <c r="C506" t="s">
        <v>19</v>
      </c>
      <c r="D506" s="4">
        <v>50.304788500000001</v>
      </c>
      <c r="E506" s="4">
        <v>610.69647659999998</v>
      </c>
      <c r="F506" s="4">
        <v>545.63533150000001</v>
      </c>
      <c r="G506" s="4">
        <v>235.35930930000001</v>
      </c>
      <c r="H506" s="4">
        <v>36.690135810000001</v>
      </c>
      <c r="I506" t="s">
        <v>18</v>
      </c>
      <c r="J506" s="1">
        <v>45437</v>
      </c>
      <c r="K506" s="4" t="str">
        <f>TRIM(CLEAN(Table1[[#This Row],[Region]]))</f>
        <v>North</v>
      </c>
    </row>
    <row r="507" spans="1:11" x14ac:dyDescent="0.3">
      <c r="A507" s="2">
        <v>512</v>
      </c>
      <c r="B507" t="s">
        <v>20</v>
      </c>
      <c r="C507" t="s">
        <v>17</v>
      </c>
      <c r="D507" s="4">
        <v>35.080638540000002</v>
      </c>
      <c r="E507" s="4">
        <v>564.11866620000001</v>
      </c>
      <c r="F507" s="4">
        <v>488.2614878</v>
      </c>
      <c r="G507" s="4">
        <v>248.95927180000001</v>
      </c>
      <c r="H507" s="4">
        <v>35.037903409999998</v>
      </c>
      <c r="I507" t="s">
        <v>18</v>
      </c>
      <c r="J507" s="1">
        <v>45438</v>
      </c>
      <c r="K507" s="4" t="str">
        <f>TRIM(CLEAN(Table1[[#This Row],[Region]]))</f>
        <v>Unknown</v>
      </c>
    </row>
    <row r="508" spans="1:11" x14ac:dyDescent="0.3">
      <c r="A508" s="2">
        <v>513</v>
      </c>
      <c r="B508" t="s">
        <v>10</v>
      </c>
      <c r="C508" t="s">
        <v>15</v>
      </c>
      <c r="D508" s="4">
        <v>54.944434139999998</v>
      </c>
      <c r="E508" s="4">
        <v>714.13831189999996</v>
      </c>
      <c r="F508" s="4">
        <v>732.44077240000001</v>
      </c>
      <c r="G508" s="4">
        <v>231.88597490000001</v>
      </c>
      <c r="H508" s="4">
        <v>22.947863980000001</v>
      </c>
      <c r="I508" t="s">
        <v>18</v>
      </c>
      <c r="J508" s="1">
        <v>45439</v>
      </c>
      <c r="K508" s="4" t="str">
        <f>TRIM(CLEAN(Table1[[#This Row],[Region]]))</f>
        <v>West</v>
      </c>
    </row>
    <row r="509" spans="1:11" x14ac:dyDescent="0.3">
      <c r="A509" s="2">
        <v>514</v>
      </c>
      <c r="B509" t="s">
        <v>21</v>
      </c>
      <c r="C509" t="s">
        <v>17</v>
      </c>
      <c r="D509" s="4">
        <v>57.236136190000003</v>
      </c>
      <c r="E509" s="4">
        <v>503.25760000000002</v>
      </c>
      <c r="F509" s="4">
        <v>551.56764829999997</v>
      </c>
      <c r="G509" s="4">
        <v>222.4950115</v>
      </c>
      <c r="H509" s="4">
        <v>35.429106599999997</v>
      </c>
      <c r="I509" t="s">
        <v>16</v>
      </c>
      <c r="J509" s="1">
        <v>45440</v>
      </c>
      <c r="K509" s="4" t="str">
        <f>TRIM(CLEAN(Table1[[#This Row],[Region]]))</f>
        <v>South</v>
      </c>
    </row>
    <row r="510" spans="1:11" x14ac:dyDescent="0.3">
      <c r="A510" s="2">
        <v>515</v>
      </c>
      <c r="B510" t="s">
        <v>14</v>
      </c>
      <c r="C510" t="s">
        <v>11</v>
      </c>
      <c r="D510" s="4">
        <v>73.00410085</v>
      </c>
      <c r="E510" s="4">
        <v>583.07098499999995</v>
      </c>
      <c r="F510" s="4">
        <v>421.44080209999998</v>
      </c>
      <c r="G510" s="4">
        <v>244.930892</v>
      </c>
      <c r="H510" s="4">
        <v>29.228132330000001</v>
      </c>
      <c r="I510" t="s">
        <v>20</v>
      </c>
      <c r="J510" s="1">
        <v>45441</v>
      </c>
      <c r="K510" s="4" t="str">
        <f>TRIM(CLEAN(Table1[[#This Row],[Region]]))</f>
        <v>North</v>
      </c>
    </row>
    <row r="511" spans="1:11" x14ac:dyDescent="0.3">
      <c r="A511" s="2">
        <v>516</v>
      </c>
      <c r="B511" t="s">
        <v>10</v>
      </c>
      <c r="C511" t="s">
        <v>20</v>
      </c>
      <c r="D511" s="4">
        <v>60.754330629999998</v>
      </c>
      <c r="E511" s="4">
        <v>398.26760919999998</v>
      </c>
      <c r="F511" s="4">
        <v>578.51602609999998</v>
      </c>
      <c r="G511" s="4">
        <v>131.58184539999999</v>
      </c>
      <c r="H511" s="4">
        <v>25.69544235</v>
      </c>
      <c r="I511" t="s">
        <v>16</v>
      </c>
      <c r="J511" s="1">
        <v>45442</v>
      </c>
      <c r="K511" s="4" t="str">
        <f>TRIM(CLEAN(Table1[[#This Row],[Region]]))</f>
        <v>West</v>
      </c>
    </row>
    <row r="512" spans="1:11" x14ac:dyDescent="0.3">
      <c r="A512" s="2">
        <v>517</v>
      </c>
      <c r="B512" t="s">
        <v>21</v>
      </c>
      <c r="C512" t="s">
        <v>17</v>
      </c>
      <c r="D512" s="4">
        <v>31.008236119999999</v>
      </c>
      <c r="E512" s="4">
        <v>338.46335490000001</v>
      </c>
      <c r="F512" s="4">
        <v>283.48740989999999</v>
      </c>
      <c r="G512" s="4">
        <v>209.974265</v>
      </c>
      <c r="H512" s="4">
        <v>20.103970700000001</v>
      </c>
      <c r="I512" t="s">
        <v>16</v>
      </c>
      <c r="J512" s="1">
        <v>45443</v>
      </c>
      <c r="K512" s="4" t="str">
        <f>TRIM(CLEAN(Table1[[#This Row],[Region]]))</f>
        <v>South</v>
      </c>
    </row>
    <row r="513" spans="1:11" x14ac:dyDescent="0.3">
      <c r="A513" s="2">
        <v>518</v>
      </c>
      <c r="B513" t="s">
        <v>20</v>
      </c>
      <c r="C513" t="s">
        <v>19</v>
      </c>
      <c r="D513" s="4">
        <v>50.784293990000002</v>
      </c>
      <c r="E513" s="4">
        <v>296.44691569999998</v>
      </c>
      <c r="F513" s="4">
        <v>494.35203150000001</v>
      </c>
      <c r="G513" s="4">
        <v>195.9525897</v>
      </c>
      <c r="H513" s="4">
        <v>28.655419030000001</v>
      </c>
      <c r="I513" t="s">
        <v>18</v>
      </c>
      <c r="J513" s="1">
        <v>45444</v>
      </c>
      <c r="K513" s="4" t="str">
        <f>TRIM(CLEAN(Table1[[#This Row],[Region]]))</f>
        <v>Unknown</v>
      </c>
    </row>
    <row r="514" spans="1:11" x14ac:dyDescent="0.3">
      <c r="A514" s="2">
        <v>520</v>
      </c>
      <c r="B514" t="s">
        <v>20</v>
      </c>
      <c r="C514" t="s">
        <v>20</v>
      </c>
      <c r="D514" s="4">
        <v>56.235488570000001</v>
      </c>
      <c r="E514" s="4">
        <v>518.4247914</v>
      </c>
      <c r="F514" s="4">
        <v>495.72249140000002</v>
      </c>
      <c r="G514" s="4">
        <v>176.93138930000001</v>
      </c>
      <c r="H514" s="4">
        <v>37.936638270000003</v>
      </c>
      <c r="I514" t="s">
        <v>16</v>
      </c>
      <c r="J514" s="1">
        <v>45446</v>
      </c>
      <c r="K514" s="4" t="str">
        <f>TRIM(CLEAN(Table1[[#This Row],[Region]]))</f>
        <v>Unknown</v>
      </c>
    </row>
    <row r="515" spans="1:11" x14ac:dyDescent="0.3">
      <c r="A515" s="2">
        <v>521</v>
      </c>
      <c r="B515" t="s">
        <v>10</v>
      </c>
      <c r="C515" t="s">
        <v>15</v>
      </c>
      <c r="D515" s="4">
        <v>53.2865216</v>
      </c>
      <c r="E515" s="4">
        <v>452.09489430000002</v>
      </c>
      <c r="F515" s="4">
        <v>439.94653549999998</v>
      </c>
      <c r="G515" s="4">
        <v>226.02439219999999</v>
      </c>
      <c r="H515" s="4">
        <v>34.786169039999997</v>
      </c>
      <c r="I515" t="s">
        <v>20</v>
      </c>
      <c r="J515" s="1">
        <v>45447</v>
      </c>
      <c r="K515" s="4" t="str">
        <f>TRIM(CLEAN(Table1[[#This Row],[Region]]))</f>
        <v>West</v>
      </c>
    </row>
    <row r="516" spans="1:11" x14ac:dyDescent="0.3">
      <c r="A516" s="2">
        <v>522</v>
      </c>
      <c r="B516" t="s">
        <v>14</v>
      </c>
      <c r="C516" t="s">
        <v>20</v>
      </c>
      <c r="D516" s="4">
        <v>59.002286589999997</v>
      </c>
      <c r="E516" s="4">
        <v>322.64956660000001</v>
      </c>
      <c r="F516" s="4">
        <v>358.52719719999999</v>
      </c>
      <c r="G516" s="4">
        <v>159.1035995</v>
      </c>
      <c r="H516" s="4">
        <v>29.664100000000001</v>
      </c>
      <c r="I516" t="s">
        <v>18</v>
      </c>
      <c r="J516" s="1">
        <v>45448</v>
      </c>
      <c r="K516" s="4" t="str">
        <f>TRIM(CLEAN(Table1[[#This Row],[Region]]))</f>
        <v>North</v>
      </c>
    </row>
    <row r="517" spans="1:11" x14ac:dyDescent="0.3">
      <c r="A517" s="2">
        <v>523</v>
      </c>
      <c r="B517" t="s">
        <v>20</v>
      </c>
      <c r="C517" t="s">
        <v>19</v>
      </c>
      <c r="D517" s="4">
        <v>43.776218049999997</v>
      </c>
      <c r="E517" s="4">
        <v>430.96133739999999</v>
      </c>
      <c r="F517" s="4">
        <v>385.27835859999999</v>
      </c>
      <c r="G517" s="4">
        <v>173.3072535</v>
      </c>
      <c r="H517" s="4">
        <v>31.946711969999999</v>
      </c>
      <c r="I517" t="s">
        <v>16</v>
      </c>
      <c r="J517" s="1">
        <v>45449</v>
      </c>
      <c r="K517" s="4" t="str">
        <f>TRIM(CLEAN(Table1[[#This Row],[Region]]))</f>
        <v>Unknown</v>
      </c>
    </row>
    <row r="518" spans="1:11" x14ac:dyDescent="0.3">
      <c r="A518" s="2">
        <v>524</v>
      </c>
      <c r="B518" t="s">
        <v>10</v>
      </c>
      <c r="C518" t="s">
        <v>11</v>
      </c>
      <c r="D518" s="4">
        <v>54.78089997</v>
      </c>
      <c r="E518" s="4">
        <v>500.40930079999998</v>
      </c>
      <c r="F518" s="4">
        <v>492.24898990000003</v>
      </c>
      <c r="G518" s="4">
        <v>167.30600430000001</v>
      </c>
      <c r="H518" s="4">
        <v>34.131247109999997</v>
      </c>
      <c r="I518" t="s">
        <v>18</v>
      </c>
      <c r="J518" s="1">
        <v>45450</v>
      </c>
      <c r="K518" s="4" t="str">
        <f>TRIM(CLEAN(Table1[[#This Row],[Region]]))</f>
        <v>West</v>
      </c>
    </row>
    <row r="519" spans="1:11" x14ac:dyDescent="0.3">
      <c r="A519" s="2">
        <v>525</v>
      </c>
      <c r="B519" t="s">
        <v>12</v>
      </c>
      <c r="C519" t="s">
        <v>15</v>
      </c>
      <c r="D519" s="4">
        <v>47.495319610000003</v>
      </c>
      <c r="E519" s="4">
        <v>579.31693670000004</v>
      </c>
      <c r="F519" s="4">
        <v>346.37769209999999</v>
      </c>
      <c r="G519" s="4">
        <v>243.19733189999999</v>
      </c>
      <c r="H519" s="4">
        <v>30.42978694</v>
      </c>
      <c r="I519" t="s">
        <v>16</v>
      </c>
      <c r="J519" s="1">
        <v>45451</v>
      </c>
      <c r="K519" s="4" t="str">
        <f>TRIM(CLEAN(Table1[[#This Row],[Region]]))</f>
        <v>South</v>
      </c>
    </row>
    <row r="520" spans="1:11" x14ac:dyDescent="0.3">
      <c r="A520" s="2">
        <v>526</v>
      </c>
      <c r="B520" t="s">
        <v>21</v>
      </c>
      <c r="C520" t="s">
        <v>19</v>
      </c>
      <c r="D520" s="4">
        <v>49.803765140000003</v>
      </c>
      <c r="E520" s="4">
        <v>498.34642500000001</v>
      </c>
      <c r="F520" s="4">
        <v>692.42011390000005</v>
      </c>
      <c r="G520" s="4">
        <v>199.41382479999999</v>
      </c>
      <c r="H520" s="4">
        <v>27.0642292</v>
      </c>
      <c r="I520" t="s">
        <v>16</v>
      </c>
      <c r="J520" s="1">
        <v>45452</v>
      </c>
      <c r="K520" s="4" t="str">
        <f>TRIM(CLEAN(Table1[[#This Row],[Region]]))</f>
        <v>South</v>
      </c>
    </row>
    <row r="521" spans="1:11" x14ac:dyDescent="0.3">
      <c r="A521" s="2">
        <v>527</v>
      </c>
      <c r="B521" t="s">
        <v>13</v>
      </c>
      <c r="C521" t="s">
        <v>20</v>
      </c>
      <c r="D521" s="4">
        <v>58.28454516</v>
      </c>
      <c r="E521" s="4">
        <v>525.20603430000006</v>
      </c>
      <c r="F521" s="4">
        <v>163.09227849999999</v>
      </c>
      <c r="G521" s="4">
        <v>176.958383</v>
      </c>
      <c r="H521" s="4">
        <v>27.33913772</v>
      </c>
      <c r="I521" t="s">
        <v>18</v>
      </c>
      <c r="J521" s="1">
        <v>45453</v>
      </c>
      <c r="K521" s="4" t="str">
        <f>TRIM(CLEAN(Table1[[#This Row],[Region]]))</f>
        <v>East</v>
      </c>
    </row>
    <row r="522" spans="1:11" x14ac:dyDescent="0.3">
      <c r="A522" s="2">
        <v>528</v>
      </c>
      <c r="B522" t="s">
        <v>14</v>
      </c>
      <c r="C522" t="s">
        <v>19</v>
      </c>
      <c r="D522" s="4">
        <v>40.732868979999999</v>
      </c>
      <c r="E522" s="4">
        <v>462.38676190000001</v>
      </c>
      <c r="F522" s="4">
        <v>441.18745589999997</v>
      </c>
      <c r="G522" s="4">
        <v>181.3285152</v>
      </c>
      <c r="H522" s="4">
        <v>31.927365349999999</v>
      </c>
      <c r="I522" t="s">
        <v>16</v>
      </c>
      <c r="J522" s="1">
        <v>45454</v>
      </c>
      <c r="K522" s="4" t="str">
        <f>TRIM(CLEAN(Table1[[#This Row],[Region]]))</f>
        <v>North</v>
      </c>
    </row>
    <row r="523" spans="1:11" x14ac:dyDescent="0.3">
      <c r="A523" s="2">
        <v>529</v>
      </c>
      <c r="B523" t="s">
        <v>20</v>
      </c>
      <c r="C523" t="s">
        <v>11</v>
      </c>
      <c r="D523" s="4">
        <v>62.879824739999997</v>
      </c>
      <c r="E523" s="4">
        <v>674.9224203</v>
      </c>
      <c r="F523" s="4">
        <v>493.24675669999999</v>
      </c>
      <c r="G523" s="4">
        <v>200.19403080000001</v>
      </c>
      <c r="H523" s="4">
        <v>32.064902830000001</v>
      </c>
      <c r="I523" t="s">
        <v>16</v>
      </c>
      <c r="J523" s="1">
        <v>45455</v>
      </c>
      <c r="K523" s="4" t="str">
        <f>TRIM(CLEAN(Table1[[#This Row],[Region]]))</f>
        <v>Unknown</v>
      </c>
    </row>
    <row r="524" spans="1:11" x14ac:dyDescent="0.3">
      <c r="A524" s="2">
        <v>530</v>
      </c>
      <c r="B524" t="s">
        <v>13</v>
      </c>
      <c r="C524" t="s">
        <v>19</v>
      </c>
      <c r="D524" s="4">
        <v>45.77188039</v>
      </c>
      <c r="E524" s="4">
        <v>398.1750356</v>
      </c>
      <c r="F524" s="4">
        <v>540.89051129999996</v>
      </c>
      <c r="G524" s="4">
        <v>281.10874589999997</v>
      </c>
      <c r="H524" s="4">
        <v>28.535226919999999</v>
      </c>
      <c r="I524" t="s">
        <v>20</v>
      </c>
      <c r="J524" s="1">
        <v>45456</v>
      </c>
      <c r="K524" s="4" t="str">
        <f>TRIM(CLEAN(Table1[[#This Row],[Region]]))</f>
        <v>East</v>
      </c>
    </row>
    <row r="525" spans="1:11" x14ac:dyDescent="0.3">
      <c r="A525" s="2">
        <v>531</v>
      </c>
      <c r="B525" t="s">
        <v>10</v>
      </c>
      <c r="C525" t="s">
        <v>19</v>
      </c>
      <c r="D525" s="4">
        <v>263.03314169999999</v>
      </c>
      <c r="E525" s="4">
        <v>1720.304713</v>
      </c>
      <c r="F525" s="4">
        <v>370.08903270000002</v>
      </c>
      <c r="G525" s="4">
        <v>138.17398320000001</v>
      </c>
      <c r="H525" s="4">
        <v>16.904238970000002</v>
      </c>
      <c r="I525" t="s">
        <v>16</v>
      </c>
      <c r="J525" s="1">
        <v>45457</v>
      </c>
      <c r="K525" s="4" t="str">
        <f>TRIM(CLEAN(Table1[[#This Row],[Region]]))</f>
        <v>West</v>
      </c>
    </row>
    <row r="526" spans="1:11" x14ac:dyDescent="0.3">
      <c r="A526" s="2">
        <v>532</v>
      </c>
      <c r="B526" t="s">
        <v>12</v>
      </c>
      <c r="C526" t="s">
        <v>19</v>
      </c>
      <c r="D526" s="4">
        <v>35.994920399999998</v>
      </c>
      <c r="E526" s="4">
        <v>450.7641926</v>
      </c>
      <c r="F526" s="4">
        <v>616.11537529999998</v>
      </c>
      <c r="G526" s="4">
        <v>233.7754999</v>
      </c>
      <c r="H526" s="4">
        <v>23.547386360000001</v>
      </c>
      <c r="I526" t="s">
        <v>16</v>
      </c>
      <c r="J526" s="1">
        <v>45458</v>
      </c>
      <c r="K526" s="4" t="str">
        <f>TRIM(CLEAN(Table1[[#This Row],[Region]]))</f>
        <v>South</v>
      </c>
    </row>
    <row r="527" spans="1:11" x14ac:dyDescent="0.3">
      <c r="A527" s="2">
        <v>533</v>
      </c>
      <c r="B527" t="s">
        <v>20</v>
      </c>
      <c r="C527" t="s">
        <v>20</v>
      </c>
      <c r="D527" s="4">
        <v>57.198372910000003</v>
      </c>
      <c r="E527" s="4">
        <v>554.27043979999996</v>
      </c>
      <c r="F527" s="4">
        <v>312.74027469999999</v>
      </c>
      <c r="G527" s="4">
        <v>223.59311690000001</v>
      </c>
      <c r="H527" s="4">
        <v>33.098444610000001</v>
      </c>
      <c r="I527" t="s">
        <v>20</v>
      </c>
      <c r="J527" s="1">
        <v>45459</v>
      </c>
      <c r="K527" s="4" t="str">
        <f>TRIM(CLEAN(Table1[[#This Row],[Region]]))</f>
        <v>Unknown</v>
      </c>
    </row>
    <row r="528" spans="1:11" x14ac:dyDescent="0.3">
      <c r="A528" s="2">
        <v>534</v>
      </c>
      <c r="B528" t="s">
        <v>12</v>
      </c>
      <c r="C528" t="s">
        <v>20</v>
      </c>
      <c r="D528" s="4">
        <v>64.465039360000006</v>
      </c>
      <c r="E528" s="4">
        <v>396.11402099999998</v>
      </c>
      <c r="F528" s="4">
        <v>412.06456939999998</v>
      </c>
      <c r="G528" s="4">
        <v>155.8517301</v>
      </c>
      <c r="H528" s="4">
        <v>19.345810010000001</v>
      </c>
      <c r="I528" t="s">
        <v>16</v>
      </c>
      <c r="J528" s="1">
        <v>45460</v>
      </c>
      <c r="K528" s="4" t="str">
        <f>TRIM(CLEAN(Table1[[#This Row],[Region]]))</f>
        <v>South</v>
      </c>
    </row>
    <row r="529" spans="1:11" x14ac:dyDescent="0.3">
      <c r="A529" s="2">
        <v>535</v>
      </c>
      <c r="B529" t="s">
        <v>14</v>
      </c>
      <c r="C529" t="s">
        <v>15</v>
      </c>
      <c r="D529" s="4">
        <v>44.853584509999997</v>
      </c>
      <c r="E529" s="4">
        <v>513.57185909999998</v>
      </c>
      <c r="F529" s="4">
        <v>554.48970659999998</v>
      </c>
      <c r="G529" s="4">
        <v>273.34366449999999</v>
      </c>
      <c r="H529" s="4">
        <v>35.920905079999997</v>
      </c>
      <c r="I529" t="s">
        <v>20</v>
      </c>
      <c r="J529" s="1">
        <v>45461</v>
      </c>
      <c r="K529" s="4" t="str">
        <f>TRIM(CLEAN(Table1[[#This Row],[Region]]))</f>
        <v>North</v>
      </c>
    </row>
    <row r="530" spans="1:11" x14ac:dyDescent="0.3">
      <c r="A530" s="2">
        <v>536</v>
      </c>
      <c r="B530" t="s">
        <v>12</v>
      </c>
      <c r="C530" t="s">
        <v>20</v>
      </c>
      <c r="D530" s="4">
        <v>38.897766130000001</v>
      </c>
      <c r="E530" s="4">
        <v>516.49101429999996</v>
      </c>
      <c r="F530" s="4">
        <v>604.82262779999996</v>
      </c>
      <c r="G530" s="4">
        <v>226.9640225</v>
      </c>
      <c r="H530" s="4">
        <v>35.180786310000002</v>
      </c>
      <c r="I530" t="s">
        <v>20</v>
      </c>
      <c r="J530" s="1">
        <v>45462</v>
      </c>
      <c r="K530" s="4" t="str">
        <f>TRIM(CLEAN(Table1[[#This Row],[Region]]))</f>
        <v>South</v>
      </c>
    </row>
    <row r="531" spans="1:11" x14ac:dyDescent="0.3">
      <c r="A531" s="2">
        <v>537</v>
      </c>
      <c r="B531" t="s">
        <v>14</v>
      </c>
      <c r="C531" t="s">
        <v>17</v>
      </c>
      <c r="D531" s="4">
        <v>52.779830650000001</v>
      </c>
      <c r="E531" s="4">
        <v>430.5642029</v>
      </c>
      <c r="F531" s="4">
        <v>311.51984440000001</v>
      </c>
      <c r="G531" s="4">
        <v>174.61333479999999</v>
      </c>
      <c r="H531" s="4">
        <v>30.20548191</v>
      </c>
      <c r="I531" t="s">
        <v>20</v>
      </c>
      <c r="J531" s="1">
        <v>45463</v>
      </c>
      <c r="K531" s="4" t="str">
        <f>TRIM(CLEAN(Table1[[#This Row],[Region]]))</f>
        <v>North</v>
      </c>
    </row>
    <row r="532" spans="1:11" x14ac:dyDescent="0.3">
      <c r="A532" s="2">
        <v>538</v>
      </c>
      <c r="B532" t="s">
        <v>21</v>
      </c>
      <c r="C532" t="s">
        <v>11</v>
      </c>
      <c r="D532" s="4">
        <v>194.7333142</v>
      </c>
      <c r="E532" s="4">
        <v>532.99794610000004</v>
      </c>
      <c r="F532" s="4">
        <v>797.40441480000004</v>
      </c>
      <c r="G532" s="4">
        <v>107.0293337</v>
      </c>
      <c r="H532" s="4">
        <v>32.989655169999999</v>
      </c>
      <c r="I532" t="s">
        <v>16</v>
      </c>
      <c r="J532" s="1">
        <v>45464</v>
      </c>
      <c r="K532" s="4" t="str">
        <f>TRIM(CLEAN(Table1[[#This Row],[Region]]))</f>
        <v>South</v>
      </c>
    </row>
    <row r="533" spans="1:11" x14ac:dyDescent="0.3">
      <c r="A533" s="2">
        <v>539</v>
      </c>
      <c r="B533" t="s">
        <v>20</v>
      </c>
      <c r="C533" t="s">
        <v>11</v>
      </c>
      <c r="D533" s="4">
        <v>35.501434349999997</v>
      </c>
      <c r="E533" s="4">
        <v>399.21861009999998</v>
      </c>
      <c r="F533" s="4">
        <v>372.30101239999999</v>
      </c>
      <c r="G533" s="4">
        <v>211.4573417</v>
      </c>
      <c r="H533" s="4">
        <v>32.643873390000003</v>
      </c>
      <c r="I533" t="s">
        <v>18</v>
      </c>
      <c r="J533" s="1">
        <v>45465</v>
      </c>
      <c r="K533" s="4" t="str">
        <f>TRIM(CLEAN(Table1[[#This Row],[Region]]))</f>
        <v>Unknown</v>
      </c>
    </row>
    <row r="534" spans="1:11" x14ac:dyDescent="0.3">
      <c r="A534" s="2">
        <v>540</v>
      </c>
      <c r="B534" t="s">
        <v>20</v>
      </c>
      <c r="C534" t="s">
        <v>19</v>
      </c>
      <c r="D534" s="4">
        <v>38.93691819</v>
      </c>
      <c r="E534" s="4">
        <v>388.29258579999998</v>
      </c>
      <c r="F534" s="4">
        <v>322.53810270000002</v>
      </c>
      <c r="G534" s="4">
        <v>197.76272080000001</v>
      </c>
      <c r="H534" s="4">
        <v>29.415634359999999</v>
      </c>
      <c r="I534" t="s">
        <v>16</v>
      </c>
      <c r="J534" s="1">
        <v>45466</v>
      </c>
      <c r="K534" s="4" t="str">
        <f>TRIM(CLEAN(Table1[[#This Row],[Region]]))</f>
        <v>Unknown</v>
      </c>
    </row>
    <row r="535" spans="1:11" x14ac:dyDescent="0.3">
      <c r="A535" s="2">
        <v>541</v>
      </c>
      <c r="B535" t="s">
        <v>14</v>
      </c>
      <c r="C535" t="s">
        <v>19</v>
      </c>
      <c r="D535" s="4">
        <v>45.458104419999998</v>
      </c>
      <c r="E535" s="4">
        <v>509.96057569999999</v>
      </c>
      <c r="F535" s="4">
        <v>540.32578699999999</v>
      </c>
      <c r="G535" s="4">
        <v>148.46435339999999</v>
      </c>
      <c r="H535" s="4">
        <v>23.130554409999998</v>
      </c>
      <c r="I535" t="s">
        <v>20</v>
      </c>
      <c r="J535" s="1">
        <v>45467</v>
      </c>
      <c r="K535" s="4" t="str">
        <f>TRIM(CLEAN(Table1[[#This Row],[Region]]))</f>
        <v>North</v>
      </c>
    </row>
    <row r="536" spans="1:11" x14ac:dyDescent="0.3">
      <c r="A536" s="2">
        <v>542</v>
      </c>
      <c r="B536" t="s">
        <v>10</v>
      </c>
      <c r="C536" t="s">
        <v>11</v>
      </c>
      <c r="D536" s="4">
        <v>41.796561750000002</v>
      </c>
      <c r="E536" s="4">
        <v>334.02444150000002</v>
      </c>
      <c r="F536" s="4">
        <v>438.20478559999998</v>
      </c>
      <c r="G536" s="4">
        <v>147.81927949999999</v>
      </c>
      <c r="H536" s="4">
        <v>34.836364879999998</v>
      </c>
      <c r="I536" t="s">
        <v>18</v>
      </c>
      <c r="J536" s="1">
        <v>45468</v>
      </c>
      <c r="K536" s="4" t="str">
        <f>TRIM(CLEAN(Table1[[#This Row],[Region]]))</f>
        <v>West</v>
      </c>
    </row>
    <row r="537" spans="1:11" x14ac:dyDescent="0.3">
      <c r="A537" s="2">
        <v>543</v>
      </c>
      <c r="B537" t="s">
        <v>14</v>
      </c>
      <c r="C537" t="s">
        <v>19</v>
      </c>
      <c r="D537" s="4">
        <v>41.828145329999998</v>
      </c>
      <c r="E537" s="4">
        <v>285.51972970000003</v>
      </c>
      <c r="F537" s="4">
        <v>480.48430000000002</v>
      </c>
      <c r="G537" s="4">
        <v>243.42549339999999</v>
      </c>
      <c r="H537" s="4">
        <v>37.036150059999997</v>
      </c>
      <c r="I537" t="s">
        <v>18</v>
      </c>
      <c r="J537" s="1">
        <v>45469</v>
      </c>
      <c r="K537" s="4" t="str">
        <f>TRIM(CLEAN(Table1[[#This Row],[Region]]))</f>
        <v>North</v>
      </c>
    </row>
    <row r="538" spans="1:11" x14ac:dyDescent="0.3">
      <c r="A538" s="2">
        <v>544</v>
      </c>
      <c r="B538" t="s">
        <v>14</v>
      </c>
      <c r="C538" t="s">
        <v>15</v>
      </c>
      <c r="D538" s="4">
        <v>29.058793720000001</v>
      </c>
      <c r="E538" s="4">
        <v>553.28333009999994</v>
      </c>
      <c r="F538" s="4">
        <v>551.47728689999997</v>
      </c>
      <c r="G538" s="4">
        <v>102.21525459999999</v>
      </c>
      <c r="H538" s="4">
        <v>23.957047379999999</v>
      </c>
      <c r="I538" t="s">
        <v>20</v>
      </c>
      <c r="J538" s="1">
        <v>45470</v>
      </c>
      <c r="K538" s="4" t="str">
        <f>TRIM(CLEAN(Table1[[#This Row],[Region]]))</f>
        <v>North</v>
      </c>
    </row>
    <row r="539" spans="1:11" x14ac:dyDescent="0.3">
      <c r="A539" s="2">
        <v>545</v>
      </c>
      <c r="B539" t="s">
        <v>12</v>
      </c>
      <c r="C539" t="s">
        <v>20</v>
      </c>
      <c r="D539" s="4">
        <v>279.4528474</v>
      </c>
      <c r="E539" s="4">
        <v>2419.5879770000001</v>
      </c>
      <c r="F539" s="4">
        <v>296.72451710000001</v>
      </c>
      <c r="G539" s="4">
        <v>215.7141378</v>
      </c>
      <c r="H539" s="4">
        <v>22.943724970000002</v>
      </c>
      <c r="I539" t="s">
        <v>18</v>
      </c>
      <c r="J539" s="1">
        <v>45471</v>
      </c>
      <c r="K539" s="4" t="str">
        <f>TRIM(CLEAN(Table1[[#This Row],[Region]]))</f>
        <v>South</v>
      </c>
    </row>
    <row r="540" spans="1:11" x14ac:dyDescent="0.3">
      <c r="A540" s="2">
        <v>546</v>
      </c>
      <c r="B540" t="s">
        <v>12</v>
      </c>
      <c r="C540" t="s">
        <v>11</v>
      </c>
      <c r="D540" s="4">
        <v>53.387205029999997</v>
      </c>
      <c r="E540" s="4">
        <v>453.31968810000001</v>
      </c>
      <c r="F540" s="4">
        <v>480.48430000000002</v>
      </c>
      <c r="G540" s="4">
        <v>190.62815119999999</v>
      </c>
      <c r="H540" s="4">
        <v>29.316015480000001</v>
      </c>
      <c r="I540" t="s">
        <v>18</v>
      </c>
      <c r="J540" s="1">
        <v>45472</v>
      </c>
      <c r="K540" s="4" t="str">
        <f>TRIM(CLEAN(Table1[[#This Row],[Region]]))</f>
        <v>South</v>
      </c>
    </row>
    <row r="541" spans="1:11" x14ac:dyDescent="0.3">
      <c r="A541" s="2">
        <v>547</v>
      </c>
      <c r="B541" t="s">
        <v>14</v>
      </c>
      <c r="C541" t="s">
        <v>20</v>
      </c>
      <c r="D541" s="4">
        <v>33.011507999999999</v>
      </c>
      <c r="E541" s="4">
        <v>433.19293479999999</v>
      </c>
      <c r="F541" s="4">
        <v>408.30919619999997</v>
      </c>
      <c r="G541" s="4">
        <v>224.85774140000001</v>
      </c>
      <c r="H541" s="4">
        <v>26.868877019999999</v>
      </c>
      <c r="I541" t="s">
        <v>16</v>
      </c>
      <c r="J541" s="1">
        <v>45473</v>
      </c>
      <c r="K541" s="4" t="str">
        <f>TRIM(CLEAN(Table1[[#This Row],[Region]]))</f>
        <v>North</v>
      </c>
    </row>
    <row r="542" spans="1:11" x14ac:dyDescent="0.3">
      <c r="A542" s="2">
        <v>548</v>
      </c>
      <c r="B542" t="s">
        <v>20</v>
      </c>
      <c r="C542" t="s">
        <v>11</v>
      </c>
      <c r="D542" s="4">
        <v>64.571957600000005</v>
      </c>
      <c r="E542" s="4">
        <v>600.55352259999995</v>
      </c>
      <c r="F542" s="4">
        <v>609.34820869999999</v>
      </c>
      <c r="G542" s="4">
        <v>185.2847495</v>
      </c>
      <c r="H542" s="4">
        <v>29.664100000000001</v>
      </c>
      <c r="I542" t="s">
        <v>18</v>
      </c>
      <c r="J542" s="1">
        <v>45474</v>
      </c>
      <c r="K542" s="4" t="str">
        <f>TRIM(CLEAN(Table1[[#This Row],[Region]]))</f>
        <v>Unknown</v>
      </c>
    </row>
    <row r="543" spans="1:11" x14ac:dyDescent="0.3">
      <c r="A543" s="2">
        <v>549</v>
      </c>
      <c r="B543" t="s">
        <v>12</v>
      </c>
      <c r="C543" t="s">
        <v>17</v>
      </c>
      <c r="D543" s="4">
        <v>66.810923149999994</v>
      </c>
      <c r="E543" s="4">
        <v>385.44617820000002</v>
      </c>
      <c r="F543" s="4">
        <v>413.51336479999998</v>
      </c>
      <c r="G543" s="4">
        <v>214.66374830000001</v>
      </c>
      <c r="H543" s="4">
        <v>36.039970199999999</v>
      </c>
      <c r="I543" t="s">
        <v>20</v>
      </c>
      <c r="J543" s="1">
        <v>45475</v>
      </c>
      <c r="K543" s="4" t="str">
        <f>TRIM(CLEAN(Table1[[#This Row],[Region]]))</f>
        <v>South</v>
      </c>
    </row>
    <row r="544" spans="1:11" x14ac:dyDescent="0.3">
      <c r="A544" s="2">
        <v>550</v>
      </c>
      <c r="B544" t="s">
        <v>21</v>
      </c>
      <c r="C544" t="s">
        <v>19</v>
      </c>
      <c r="D544" s="4">
        <v>42.490944499999998</v>
      </c>
      <c r="E544" s="4">
        <v>363.66273749999999</v>
      </c>
      <c r="F544" s="4">
        <v>671.89880210000001</v>
      </c>
      <c r="G544" s="4">
        <v>162.8612578</v>
      </c>
      <c r="H544" s="4">
        <v>18.771647810000001</v>
      </c>
      <c r="I544" t="s">
        <v>18</v>
      </c>
      <c r="J544" s="1">
        <v>45476</v>
      </c>
      <c r="K544" s="4" t="str">
        <f>TRIM(CLEAN(Table1[[#This Row],[Region]]))</f>
        <v>South</v>
      </c>
    </row>
    <row r="545" spans="1:11" x14ac:dyDescent="0.3">
      <c r="A545" s="2">
        <v>551</v>
      </c>
      <c r="B545" t="s">
        <v>21</v>
      </c>
      <c r="C545" t="s">
        <v>20</v>
      </c>
      <c r="D545" s="4">
        <v>61.665485910000001</v>
      </c>
      <c r="E545" s="4">
        <v>570.76364239999998</v>
      </c>
      <c r="F545" s="4">
        <v>624.12177129999998</v>
      </c>
      <c r="G545" s="4">
        <v>197.5397542</v>
      </c>
      <c r="H545" s="4">
        <v>37.906359760000001</v>
      </c>
      <c r="I545" t="s">
        <v>18</v>
      </c>
      <c r="J545" s="1">
        <v>45477</v>
      </c>
      <c r="K545" s="4" t="str">
        <f>TRIM(CLEAN(Table1[[#This Row],[Region]]))</f>
        <v>South</v>
      </c>
    </row>
    <row r="546" spans="1:11" x14ac:dyDescent="0.3">
      <c r="A546" s="2">
        <v>552</v>
      </c>
      <c r="B546" t="s">
        <v>14</v>
      </c>
      <c r="C546" t="s">
        <v>11</v>
      </c>
      <c r="D546" s="4">
        <v>44.27002195</v>
      </c>
      <c r="E546" s="4">
        <v>500.90381869999999</v>
      </c>
      <c r="F546" s="4">
        <v>513.95354210000005</v>
      </c>
      <c r="G546" s="4">
        <v>224.45419390000001</v>
      </c>
      <c r="H546" s="4">
        <v>27.966657789999999</v>
      </c>
      <c r="I546" t="s">
        <v>18</v>
      </c>
      <c r="J546" s="1">
        <v>45478</v>
      </c>
      <c r="K546" s="4" t="str">
        <f>TRIM(CLEAN(Table1[[#This Row],[Region]]))</f>
        <v>North</v>
      </c>
    </row>
    <row r="547" spans="1:11" x14ac:dyDescent="0.3">
      <c r="A547" s="2">
        <v>553</v>
      </c>
      <c r="B547" t="s">
        <v>14</v>
      </c>
      <c r="C547" t="s">
        <v>19</v>
      </c>
      <c r="D547" s="4">
        <v>51.811165099999997</v>
      </c>
      <c r="E547" s="4">
        <v>606.4876739</v>
      </c>
      <c r="F547" s="4">
        <v>520.76686310000002</v>
      </c>
      <c r="G547" s="4">
        <v>207.54359360000001</v>
      </c>
      <c r="H547" s="4">
        <v>32.558894889999998</v>
      </c>
      <c r="I547" t="s">
        <v>20</v>
      </c>
      <c r="J547" s="1">
        <v>45479</v>
      </c>
      <c r="K547" s="4" t="str">
        <f>TRIM(CLEAN(Table1[[#This Row],[Region]]))</f>
        <v>North</v>
      </c>
    </row>
    <row r="548" spans="1:11" x14ac:dyDescent="0.3">
      <c r="A548" s="2">
        <v>554</v>
      </c>
      <c r="B548" t="s">
        <v>14</v>
      </c>
      <c r="C548" t="s">
        <v>19</v>
      </c>
      <c r="D548" s="4">
        <v>41.642378649999998</v>
      </c>
      <c r="E548" s="4">
        <v>285.97341210000002</v>
      </c>
      <c r="F548" s="4">
        <v>513.84031500000003</v>
      </c>
      <c r="G548" s="4">
        <v>219.0153421</v>
      </c>
      <c r="H548" s="4">
        <v>33.093629190000001</v>
      </c>
      <c r="I548" t="s">
        <v>18</v>
      </c>
      <c r="J548" s="1">
        <v>45480</v>
      </c>
      <c r="K548" s="4" t="str">
        <f>TRIM(CLEAN(Table1[[#This Row],[Region]]))</f>
        <v>North</v>
      </c>
    </row>
    <row r="549" spans="1:11" x14ac:dyDescent="0.3">
      <c r="A549" s="2">
        <v>555</v>
      </c>
      <c r="B549" t="s">
        <v>14</v>
      </c>
      <c r="C549" t="s">
        <v>19</v>
      </c>
      <c r="D549" s="4">
        <v>72.142515230000001</v>
      </c>
      <c r="E549" s="4">
        <v>359.93260090000001</v>
      </c>
      <c r="F549" s="4">
        <v>499.16612739999999</v>
      </c>
      <c r="G549" s="4">
        <v>153.60393500000001</v>
      </c>
      <c r="H549" s="4">
        <v>33.676705769999998</v>
      </c>
      <c r="I549" t="s">
        <v>16</v>
      </c>
      <c r="J549" s="1">
        <v>45481</v>
      </c>
      <c r="K549" s="4" t="str">
        <f>TRIM(CLEAN(Table1[[#This Row],[Region]]))</f>
        <v>North</v>
      </c>
    </row>
    <row r="550" spans="1:11" x14ac:dyDescent="0.3">
      <c r="A550" s="2">
        <v>556</v>
      </c>
      <c r="B550" t="s">
        <v>14</v>
      </c>
      <c r="C550" t="s">
        <v>20</v>
      </c>
      <c r="D550" s="4">
        <v>47.039827729999999</v>
      </c>
      <c r="E550" s="4">
        <v>501.43320599999998</v>
      </c>
      <c r="F550" s="4">
        <v>436.05099630000001</v>
      </c>
      <c r="G550" s="4">
        <v>170.46627190000001</v>
      </c>
      <c r="H550" s="4">
        <v>30.309540519999999</v>
      </c>
      <c r="I550" t="s">
        <v>20</v>
      </c>
      <c r="J550" s="1">
        <v>45482</v>
      </c>
      <c r="K550" s="4" t="str">
        <f>TRIM(CLEAN(Table1[[#This Row],[Region]]))</f>
        <v>North</v>
      </c>
    </row>
    <row r="551" spans="1:11" x14ac:dyDescent="0.3">
      <c r="A551" s="2">
        <v>557</v>
      </c>
      <c r="B551" t="s">
        <v>20</v>
      </c>
      <c r="C551" t="s">
        <v>11</v>
      </c>
      <c r="D551" s="4">
        <v>51.26449023</v>
      </c>
      <c r="E551" s="4">
        <v>541.76736979999998</v>
      </c>
      <c r="F551" s="4">
        <v>449.97746000000001</v>
      </c>
      <c r="G551" s="4">
        <v>171.33300800000001</v>
      </c>
      <c r="H551" s="4">
        <v>31.477803009999999</v>
      </c>
      <c r="I551" t="s">
        <v>20</v>
      </c>
      <c r="J551" s="1">
        <v>45483</v>
      </c>
      <c r="K551" s="4" t="str">
        <f>TRIM(CLEAN(Table1[[#This Row],[Region]]))</f>
        <v>Unknown</v>
      </c>
    </row>
    <row r="552" spans="1:11" x14ac:dyDescent="0.3">
      <c r="A552" s="2">
        <v>558</v>
      </c>
      <c r="B552" t="s">
        <v>20</v>
      </c>
      <c r="C552" t="s">
        <v>17</v>
      </c>
      <c r="D552" s="4">
        <v>43.120626129999998</v>
      </c>
      <c r="E552" s="4">
        <v>584.69970880000005</v>
      </c>
      <c r="F552" s="4">
        <v>351.60478119999999</v>
      </c>
      <c r="G552" s="4">
        <v>186.17551219999999</v>
      </c>
      <c r="H552" s="4">
        <v>31.445110249999999</v>
      </c>
      <c r="I552" t="s">
        <v>20</v>
      </c>
      <c r="J552" s="1">
        <v>45484</v>
      </c>
      <c r="K552" s="4" t="str">
        <f>TRIM(CLEAN(Table1[[#This Row],[Region]]))</f>
        <v>Unknown</v>
      </c>
    </row>
    <row r="553" spans="1:11" x14ac:dyDescent="0.3">
      <c r="A553" s="2">
        <v>559</v>
      </c>
      <c r="B553" t="s">
        <v>14</v>
      </c>
      <c r="C553" t="s">
        <v>19</v>
      </c>
      <c r="D553" s="4">
        <v>68.613155969999994</v>
      </c>
      <c r="E553" s="4">
        <v>517.4817769</v>
      </c>
      <c r="F553" s="4">
        <v>480.48430000000002</v>
      </c>
      <c r="G553" s="4">
        <v>267.92914350000001</v>
      </c>
      <c r="H553" s="4">
        <v>26.848586000000001</v>
      </c>
      <c r="I553" t="s">
        <v>18</v>
      </c>
      <c r="J553" s="1">
        <v>45485</v>
      </c>
      <c r="K553" s="4" t="str">
        <f>TRIM(CLEAN(Table1[[#This Row],[Region]]))</f>
        <v>North</v>
      </c>
    </row>
    <row r="554" spans="1:11" x14ac:dyDescent="0.3">
      <c r="A554" s="2">
        <v>560</v>
      </c>
      <c r="B554" t="s">
        <v>21</v>
      </c>
      <c r="C554" t="s">
        <v>11</v>
      </c>
      <c r="D554" s="4">
        <v>68.866146459999996</v>
      </c>
      <c r="E554" s="4">
        <v>516.46551550000004</v>
      </c>
      <c r="F554" s="4">
        <v>612.48847309999996</v>
      </c>
      <c r="G554" s="4">
        <v>182.2910622</v>
      </c>
      <c r="H554" s="4">
        <v>21.209724040000001</v>
      </c>
      <c r="I554" t="s">
        <v>18</v>
      </c>
      <c r="J554" s="1">
        <v>45486</v>
      </c>
      <c r="K554" s="4" t="str">
        <f>TRIM(CLEAN(Table1[[#This Row],[Region]]))</f>
        <v>South</v>
      </c>
    </row>
    <row r="555" spans="1:11" x14ac:dyDescent="0.3">
      <c r="A555" s="2">
        <v>561</v>
      </c>
      <c r="B555" t="s">
        <v>14</v>
      </c>
      <c r="C555" t="s">
        <v>20</v>
      </c>
      <c r="D555" s="4">
        <v>66.309291810000005</v>
      </c>
      <c r="E555" s="4">
        <v>461.05984569999998</v>
      </c>
      <c r="F555" s="4">
        <v>498.87101239999998</v>
      </c>
      <c r="G555" s="4">
        <v>142.82202699999999</v>
      </c>
      <c r="H555" s="4">
        <v>23.904070860000001</v>
      </c>
      <c r="I555" t="s">
        <v>18</v>
      </c>
      <c r="J555" s="1">
        <v>45487</v>
      </c>
      <c r="K555" s="4" t="str">
        <f>TRIM(CLEAN(Table1[[#This Row],[Region]]))</f>
        <v>North</v>
      </c>
    </row>
    <row r="556" spans="1:11" x14ac:dyDescent="0.3">
      <c r="A556" s="2">
        <v>562</v>
      </c>
      <c r="B556" t="s">
        <v>20</v>
      </c>
      <c r="C556" t="s">
        <v>19</v>
      </c>
      <c r="D556" s="4">
        <v>59.564403480000003</v>
      </c>
      <c r="E556" s="4">
        <v>659.09049049999999</v>
      </c>
      <c r="F556" s="4">
        <v>480.74536269999999</v>
      </c>
      <c r="G556" s="4">
        <v>227.08228439999999</v>
      </c>
      <c r="H556" s="4">
        <v>29.4788101</v>
      </c>
      <c r="I556" t="s">
        <v>16</v>
      </c>
      <c r="J556" s="1">
        <v>45488</v>
      </c>
      <c r="K556" s="4" t="str">
        <f>TRIM(CLEAN(Table1[[#This Row],[Region]]))</f>
        <v>Unknown</v>
      </c>
    </row>
    <row r="557" spans="1:11" x14ac:dyDescent="0.3">
      <c r="A557" s="2">
        <v>563</v>
      </c>
      <c r="B557" t="s">
        <v>13</v>
      </c>
      <c r="C557" t="s">
        <v>15</v>
      </c>
      <c r="D557" s="4">
        <v>43.752104529999997</v>
      </c>
      <c r="E557" s="4">
        <v>389.6976545</v>
      </c>
      <c r="F557" s="4">
        <v>527.81389469999999</v>
      </c>
      <c r="G557" s="4">
        <v>267.33217159999998</v>
      </c>
      <c r="H557" s="4">
        <v>26.065966719999999</v>
      </c>
      <c r="I557" t="s">
        <v>16</v>
      </c>
      <c r="J557" s="1">
        <v>45489</v>
      </c>
      <c r="K557" s="4" t="str">
        <f>TRIM(CLEAN(Table1[[#This Row],[Region]]))</f>
        <v>East</v>
      </c>
    </row>
    <row r="558" spans="1:11" x14ac:dyDescent="0.3">
      <c r="A558" s="2">
        <v>564</v>
      </c>
      <c r="B558" t="s">
        <v>10</v>
      </c>
      <c r="C558" t="s">
        <v>19</v>
      </c>
      <c r="D558" s="4">
        <v>58.278500960000002</v>
      </c>
      <c r="E558" s="4">
        <v>535.90201530000002</v>
      </c>
      <c r="F558" s="4">
        <v>380.59230539999999</v>
      </c>
      <c r="G558" s="4">
        <v>136.93940739999999</v>
      </c>
      <c r="H558" s="4">
        <v>26.077519639999998</v>
      </c>
      <c r="I558" t="s">
        <v>20</v>
      </c>
      <c r="J558" s="1">
        <v>45490</v>
      </c>
      <c r="K558" s="4" t="str">
        <f>TRIM(CLEAN(Table1[[#This Row],[Region]]))</f>
        <v>West</v>
      </c>
    </row>
    <row r="559" spans="1:11" x14ac:dyDescent="0.3">
      <c r="A559" s="2">
        <v>565</v>
      </c>
      <c r="B559" t="s">
        <v>12</v>
      </c>
      <c r="C559" t="s">
        <v>20</v>
      </c>
      <c r="D559" s="4">
        <v>49.929572010000001</v>
      </c>
      <c r="E559" s="4">
        <v>401.21911649999998</v>
      </c>
      <c r="F559" s="4">
        <v>359.87253440000001</v>
      </c>
      <c r="G559" s="4">
        <v>199.07849999999999</v>
      </c>
      <c r="H559" s="4">
        <v>38.996255230000003</v>
      </c>
      <c r="I559" t="s">
        <v>20</v>
      </c>
      <c r="J559" s="1">
        <v>45491</v>
      </c>
      <c r="K559" s="4" t="str">
        <f>TRIM(CLEAN(Table1[[#This Row],[Region]]))</f>
        <v>South</v>
      </c>
    </row>
    <row r="560" spans="1:11" x14ac:dyDescent="0.3">
      <c r="A560" s="2">
        <v>566</v>
      </c>
      <c r="B560" t="s">
        <v>13</v>
      </c>
      <c r="C560" t="s">
        <v>15</v>
      </c>
      <c r="D560" s="4">
        <v>63.124086220000002</v>
      </c>
      <c r="E560" s="4">
        <v>553.4778546</v>
      </c>
      <c r="F560" s="4">
        <v>445.9578368</v>
      </c>
      <c r="G560" s="4">
        <v>220.75883010000001</v>
      </c>
      <c r="H560" s="4">
        <v>34.294473979999999</v>
      </c>
      <c r="I560" t="s">
        <v>18</v>
      </c>
      <c r="J560" s="1">
        <v>45492</v>
      </c>
      <c r="K560" s="4" t="str">
        <f>TRIM(CLEAN(Table1[[#This Row],[Region]]))</f>
        <v>East</v>
      </c>
    </row>
    <row r="561" spans="1:11" x14ac:dyDescent="0.3">
      <c r="A561" s="2">
        <v>567</v>
      </c>
      <c r="B561" t="s">
        <v>14</v>
      </c>
      <c r="C561" t="s">
        <v>11</v>
      </c>
      <c r="D561" s="4">
        <v>61.159020529999999</v>
      </c>
      <c r="E561" s="4">
        <v>396.29824309999998</v>
      </c>
      <c r="F561" s="4">
        <v>644.17181779999999</v>
      </c>
      <c r="G561" s="4">
        <v>251.69453949999999</v>
      </c>
      <c r="H561" s="4">
        <v>28.739620169999998</v>
      </c>
      <c r="I561" t="s">
        <v>20</v>
      </c>
      <c r="J561" s="1">
        <v>45493</v>
      </c>
      <c r="K561" s="4" t="str">
        <f>TRIM(CLEAN(Table1[[#This Row],[Region]]))</f>
        <v>North</v>
      </c>
    </row>
    <row r="562" spans="1:11" x14ac:dyDescent="0.3">
      <c r="A562" s="2">
        <v>568</v>
      </c>
      <c r="B562" t="s">
        <v>20</v>
      </c>
      <c r="C562" t="s">
        <v>17</v>
      </c>
      <c r="D562" s="4">
        <v>43.50734422</v>
      </c>
      <c r="E562" s="4">
        <v>574.38156990000004</v>
      </c>
      <c r="F562" s="4">
        <v>339.75107659999998</v>
      </c>
      <c r="G562" s="4">
        <v>273.35358179999997</v>
      </c>
      <c r="H562" s="4">
        <v>33.360174729999997</v>
      </c>
      <c r="I562" t="s">
        <v>20</v>
      </c>
      <c r="J562" s="1">
        <v>45494</v>
      </c>
      <c r="K562" s="4" t="str">
        <f>TRIM(CLEAN(Table1[[#This Row],[Region]]))</f>
        <v>Unknown</v>
      </c>
    </row>
    <row r="563" spans="1:11" x14ac:dyDescent="0.3">
      <c r="A563" s="2">
        <v>569</v>
      </c>
      <c r="B563" t="s">
        <v>14</v>
      </c>
      <c r="C563" t="s">
        <v>19</v>
      </c>
      <c r="D563" s="4">
        <v>59.478258029999999</v>
      </c>
      <c r="E563" s="4">
        <v>511.21049470000003</v>
      </c>
      <c r="F563" s="4">
        <v>164.7521572</v>
      </c>
      <c r="G563" s="4">
        <v>248.63088210000001</v>
      </c>
      <c r="H563" s="4">
        <v>27.898656970000001</v>
      </c>
      <c r="I563" t="s">
        <v>18</v>
      </c>
      <c r="J563" s="1">
        <v>45495</v>
      </c>
      <c r="K563" s="4" t="str">
        <f>TRIM(CLEAN(Table1[[#This Row],[Region]]))</f>
        <v>North</v>
      </c>
    </row>
    <row r="564" spans="1:11" x14ac:dyDescent="0.3">
      <c r="A564" s="2">
        <v>570</v>
      </c>
      <c r="B564" t="s">
        <v>14</v>
      </c>
      <c r="C564" t="s">
        <v>19</v>
      </c>
      <c r="D564" s="4">
        <v>56.820344499999997</v>
      </c>
      <c r="E564" s="4">
        <v>674.46391730000005</v>
      </c>
      <c r="F564" s="4">
        <v>417.43186900000001</v>
      </c>
      <c r="G564" s="4">
        <v>194.47322009999999</v>
      </c>
      <c r="H564" s="4">
        <v>30.553617169999999</v>
      </c>
      <c r="I564" t="s">
        <v>20</v>
      </c>
      <c r="J564" s="1">
        <v>45496</v>
      </c>
      <c r="K564" s="4" t="str">
        <f>TRIM(CLEAN(Table1[[#This Row],[Region]]))</f>
        <v>North</v>
      </c>
    </row>
    <row r="565" spans="1:11" x14ac:dyDescent="0.3">
      <c r="A565" s="2">
        <v>571</v>
      </c>
      <c r="B565" t="s">
        <v>21</v>
      </c>
      <c r="C565" t="s">
        <v>19</v>
      </c>
      <c r="D565" s="4">
        <v>22.264371369999999</v>
      </c>
      <c r="E565" s="4">
        <v>471.8980353</v>
      </c>
      <c r="F565" s="4">
        <v>617.12398989999997</v>
      </c>
      <c r="G565" s="4">
        <v>260.88490719999999</v>
      </c>
      <c r="H565" s="4">
        <v>32.208143239999998</v>
      </c>
      <c r="I565" t="s">
        <v>16</v>
      </c>
      <c r="J565" s="1">
        <v>45497</v>
      </c>
      <c r="K565" s="4" t="str">
        <f>TRIM(CLEAN(Table1[[#This Row],[Region]]))</f>
        <v>South</v>
      </c>
    </row>
    <row r="566" spans="1:11" x14ac:dyDescent="0.3">
      <c r="A566" s="2">
        <v>572</v>
      </c>
      <c r="B566" t="s">
        <v>10</v>
      </c>
      <c r="C566" t="s">
        <v>11</v>
      </c>
      <c r="D566" s="4">
        <v>58.009366399999998</v>
      </c>
      <c r="E566" s="4">
        <v>542.49661160000005</v>
      </c>
      <c r="F566" s="4">
        <v>272.09471710000003</v>
      </c>
      <c r="G566" s="4">
        <v>212.72998849999999</v>
      </c>
      <c r="H566" s="4">
        <v>27.911970159999999</v>
      </c>
      <c r="I566" t="s">
        <v>18</v>
      </c>
      <c r="J566" s="1">
        <v>45498</v>
      </c>
      <c r="K566" s="4" t="str">
        <f>TRIM(CLEAN(Table1[[#This Row],[Region]]))</f>
        <v>West</v>
      </c>
    </row>
    <row r="567" spans="1:11" x14ac:dyDescent="0.3">
      <c r="A567" s="2">
        <v>573</v>
      </c>
      <c r="B567" t="s">
        <v>14</v>
      </c>
      <c r="C567" t="s">
        <v>20</v>
      </c>
      <c r="D567" s="4">
        <v>45.682042109999998</v>
      </c>
      <c r="E567" s="4">
        <v>422.03437200000002</v>
      </c>
      <c r="F567" s="4">
        <v>338.36596750000001</v>
      </c>
      <c r="G567" s="4">
        <v>254.52423619999999</v>
      </c>
      <c r="H567" s="4">
        <v>26.573747260000001</v>
      </c>
      <c r="I567" t="s">
        <v>16</v>
      </c>
      <c r="J567" s="1">
        <v>45499</v>
      </c>
      <c r="K567" s="4" t="str">
        <f>TRIM(CLEAN(Table1[[#This Row],[Region]]))</f>
        <v>North</v>
      </c>
    </row>
    <row r="568" spans="1:11" x14ac:dyDescent="0.3">
      <c r="A568" s="2">
        <v>574</v>
      </c>
      <c r="B568" t="s">
        <v>20</v>
      </c>
      <c r="C568" t="s">
        <v>19</v>
      </c>
      <c r="D568" s="4">
        <v>41.139575460000003</v>
      </c>
      <c r="E568" s="4">
        <v>471.21069940000001</v>
      </c>
      <c r="F568" s="4">
        <v>511.62560889999997</v>
      </c>
      <c r="G568" s="4">
        <v>259.99377420000002</v>
      </c>
      <c r="H568" s="4">
        <v>36.119659089999999</v>
      </c>
      <c r="I568" t="s">
        <v>16</v>
      </c>
      <c r="J568" s="1">
        <v>45500</v>
      </c>
      <c r="K568" s="4" t="str">
        <f>TRIM(CLEAN(Table1[[#This Row],[Region]]))</f>
        <v>Unknown</v>
      </c>
    </row>
    <row r="569" spans="1:11" x14ac:dyDescent="0.3">
      <c r="A569" s="2">
        <v>575</v>
      </c>
      <c r="B569" t="s">
        <v>14</v>
      </c>
      <c r="C569" t="s">
        <v>11</v>
      </c>
      <c r="D569" s="4">
        <v>41.567393959999997</v>
      </c>
      <c r="E569" s="4">
        <v>510.57494789999998</v>
      </c>
      <c r="F569" s="4">
        <v>788.38884429999996</v>
      </c>
      <c r="G569" s="4">
        <v>145.45517050000001</v>
      </c>
      <c r="H569" s="4">
        <v>33.070564840000003</v>
      </c>
      <c r="I569" t="s">
        <v>18</v>
      </c>
      <c r="J569" s="1">
        <v>45501</v>
      </c>
      <c r="K569" s="4" t="str">
        <f>TRIM(CLEAN(Table1[[#This Row],[Region]]))</f>
        <v>North</v>
      </c>
    </row>
    <row r="570" spans="1:11" x14ac:dyDescent="0.3">
      <c r="A570" s="2">
        <v>576</v>
      </c>
      <c r="B570" t="s">
        <v>21</v>
      </c>
      <c r="C570" t="s">
        <v>19</v>
      </c>
      <c r="D570" s="4">
        <v>48.647571040000003</v>
      </c>
      <c r="E570" s="4">
        <v>347.27800780000001</v>
      </c>
      <c r="F570" s="4">
        <v>317.01459979999998</v>
      </c>
      <c r="G570" s="4">
        <v>239.7150566</v>
      </c>
      <c r="H570" s="4">
        <v>18.726945610000001</v>
      </c>
      <c r="I570" t="s">
        <v>16</v>
      </c>
      <c r="J570" s="1">
        <v>45502</v>
      </c>
      <c r="K570" s="4" t="str">
        <f>TRIM(CLEAN(Table1[[#This Row],[Region]]))</f>
        <v>South</v>
      </c>
    </row>
    <row r="571" spans="1:11" x14ac:dyDescent="0.3">
      <c r="A571" s="2">
        <v>577</v>
      </c>
      <c r="B571" t="s">
        <v>21</v>
      </c>
      <c r="C571" t="s">
        <v>17</v>
      </c>
      <c r="D571" s="4">
        <v>54.800595800000004</v>
      </c>
      <c r="E571" s="4">
        <v>358.23760659999999</v>
      </c>
      <c r="F571" s="4">
        <v>312.367909</v>
      </c>
      <c r="G571" s="4">
        <v>190.9054041</v>
      </c>
      <c r="H571" s="4">
        <v>26.659320350000002</v>
      </c>
      <c r="I571" t="s">
        <v>16</v>
      </c>
      <c r="J571" s="1">
        <v>45503</v>
      </c>
      <c r="K571" s="4" t="str">
        <f>TRIM(CLEAN(Table1[[#This Row],[Region]]))</f>
        <v>South</v>
      </c>
    </row>
    <row r="572" spans="1:11" x14ac:dyDescent="0.3">
      <c r="A572" s="2">
        <v>578</v>
      </c>
      <c r="B572" t="s">
        <v>21</v>
      </c>
      <c r="C572" t="s">
        <v>20</v>
      </c>
      <c r="D572" s="4">
        <v>147.28361659999999</v>
      </c>
      <c r="E572" s="4">
        <v>559.98593000000005</v>
      </c>
      <c r="F572" s="4">
        <v>520.64380430000006</v>
      </c>
      <c r="G572" s="4">
        <v>206.9095318</v>
      </c>
      <c r="H572" s="4">
        <v>26.0936375</v>
      </c>
      <c r="I572" t="s">
        <v>18</v>
      </c>
      <c r="J572" s="1">
        <v>45504</v>
      </c>
      <c r="K572" s="4" t="str">
        <f>TRIM(CLEAN(Table1[[#This Row],[Region]]))</f>
        <v>South</v>
      </c>
    </row>
    <row r="573" spans="1:11" x14ac:dyDescent="0.3">
      <c r="A573" s="2">
        <v>579</v>
      </c>
      <c r="B573" t="s">
        <v>10</v>
      </c>
      <c r="C573" t="s">
        <v>11</v>
      </c>
      <c r="D573" s="4">
        <v>51.898478359999999</v>
      </c>
      <c r="E573" s="4">
        <v>485.39131780000002</v>
      </c>
      <c r="F573" s="4">
        <v>624.56093280000005</v>
      </c>
      <c r="G573" s="4">
        <v>206.3546374</v>
      </c>
      <c r="H573" s="4">
        <v>26.89430956</v>
      </c>
      <c r="I573" t="s">
        <v>18</v>
      </c>
      <c r="J573" s="1">
        <v>45505</v>
      </c>
      <c r="K573" s="4" t="str">
        <f>TRIM(CLEAN(Table1[[#This Row],[Region]]))</f>
        <v>West</v>
      </c>
    </row>
    <row r="574" spans="1:11" x14ac:dyDescent="0.3">
      <c r="A574" s="2">
        <v>580</v>
      </c>
      <c r="B574" t="s">
        <v>14</v>
      </c>
      <c r="C574" t="s">
        <v>20</v>
      </c>
      <c r="D574" s="4">
        <v>55.76758066</v>
      </c>
      <c r="E574" s="4">
        <v>440.70734670000002</v>
      </c>
      <c r="F574" s="4">
        <v>405.10815450000001</v>
      </c>
      <c r="G574" s="4">
        <v>204.34851090000001</v>
      </c>
      <c r="H574" s="4">
        <v>34.312011439999999</v>
      </c>
      <c r="I574" t="s">
        <v>16</v>
      </c>
      <c r="J574" s="1">
        <v>45506</v>
      </c>
      <c r="K574" s="4" t="str">
        <f>TRIM(CLEAN(Table1[[#This Row],[Region]]))</f>
        <v>North</v>
      </c>
    </row>
    <row r="575" spans="1:11" x14ac:dyDescent="0.3">
      <c r="A575" s="2">
        <v>581</v>
      </c>
      <c r="B575" t="s">
        <v>10</v>
      </c>
      <c r="C575" t="s">
        <v>11</v>
      </c>
      <c r="D575" s="4">
        <v>68.618057840000006</v>
      </c>
      <c r="E575" s="4">
        <v>426.30138199999999</v>
      </c>
      <c r="F575" s="4">
        <v>285.43270130000002</v>
      </c>
      <c r="G575" s="4">
        <v>276.17626560000002</v>
      </c>
      <c r="H575" s="4">
        <v>30.09602984</v>
      </c>
      <c r="I575" t="s">
        <v>18</v>
      </c>
      <c r="J575" s="1">
        <v>45507</v>
      </c>
      <c r="K575" s="4" t="str">
        <f>TRIM(CLEAN(Table1[[#This Row],[Region]]))</f>
        <v>West</v>
      </c>
    </row>
    <row r="576" spans="1:11" x14ac:dyDescent="0.3">
      <c r="A576" s="2">
        <v>582</v>
      </c>
      <c r="B576" t="s">
        <v>12</v>
      </c>
      <c r="C576" t="s">
        <v>17</v>
      </c>
      <c r="D576" s="4">
        <v>39.233098310000003</v>
      </c>
      <c r="E576" s="4">
        <v>430.15112040000002</v>
      </c>
      <c r="F576" s="4">
        <v>532.04990650000002</v>
      </c>
      <c r="G576" s="4">
        <v>131.67761870000001</v>
      </c>
      <c r="H576" s="4">
        <v>23.05185165</v>
      </c>
      <c r="I576" t="s">
        <v>16</v>
      </c>
      <c r="J576" s="1">
        <v>45508</v>
      </c>
      <c r="K576" s="4" t="str">
        <f>TRIM(CLEAN(Table1[[#This Row],[Region]]))</f>
        <v>South</v>
      </c>
    </row>
    <row r="577" spans="1:11" x14ac:dyDescent="0.3">
      <c r="A577" s="2">
        <v>583</v>
      </c>
      <c r="B577" t="s">
        <v>12</v>
      </c>
      <c r="C577" t="s">
        <v>20</v>
      </c>
      <c r="D577" s="4">
        <v>46.503878129999997</v>
      </c>
      <c r="E577" s="4">
        <v>511.25507149999999</v>
      </c>
      <c r="F577" s="4">
        <v>553.78096770000002</v>
      </c>
      <c r="G577" s="4">
        <v>113.8828322</v>
      </c>
      <c r="H577" s="4">
        <v>28.083925820000001</v>
      </c>
      <c r="I577" t="s">
        <v>16</v>
      </c>
      <c r="J577" s="1">
        <v>45509</v>
      </c>
      <c r="K577" s="4" t="str">
        <f>TRIM(CLEAN(Table1[[#This Row],[Region]]))</f>
        <v>South</v>
      </c>
    </row>
    <row r="578" spans="1:11" x14ac:dyDescent="0.3">
      <c r="A578" s="2">
        <v>584</v>
      </c>
      <c r="B578" t="s">
        <v>14</v>
      </c>
      <c r="C578" t="s">
        <v>15</v>
      </c>
      <c r="D578" s="4">
        <v>52.61662973</v>
      </c>
      <c r="E578" s="4">
        <v>544.50358640000002</v>
      </c>
      <c r="F578" s="4">
        <v>693.43861519999996</v>
      </c>
      <c r="G578" s="4">
        <v>103.3354964</v>
      </c>
      <c r="H578" s="4">
        <v>32.708688240000001</v>
      </c>
      <c r="I578" t="s">
        <v>18</v>
      </c>
      <c r="J578" s="1">
        <v>45510</v>
      </c>
      <c r="K578" s="4" t="str">
        <f>TRIM(CLEAN(Table1[[#This Row],[Region]]))</f>
        <v>North</v>
      </c>
    </row>
    <row r="579" spans="1:11" x14ac:dyDescent="0.3">
      <c r="A579" s="2">
        <v>585</v>
      </c>
      <c r="B579" t="s">
        <v>20</v>
      </c>
      <c r="C579" t="s">
        <v>19</v>
      </c>
      <c r="D579" s="4">
        <v>61.4740933</v>
      </c>
      <c r="E579" s="4">
        <v>290.78927700000003</v>
      </c>
      <c r="F579" s="4">
        <v>558.83365349999997</v>
      </c>
      <c r="G579" s="4">
        <v>253.45721320000001</v>
      </c>
      <c r="H579" s="4">
        <v>28.901774920000001</v>
      </c>
      <c r="I579" t="s">
        <v>16</v>
      </c>
      <c r="J579" s="1">
        <v>45511</v>
      </c>
      <c r="K579" s="4" t="str">
        <f>TRIM(CLEAN(Table1[[#This Row],[Region]]))</f>
        <v>Unknown</v>
      </c>
    </row>
    <row r="580" spans="1:11" x14ac:dyDescent="0.3">
      <c r="A580" s="2">
        <v>586</v>
      </c>
      <c r="B580" t="s">
        <v>10</v>
      </c>
      <c r="C580" t="s">
        <v>15</v>
      </c>
      <c r="D580" s="4">
        <v>46.957761189999999</v>
      </c>
      <c r="E580" s="4">
        <v>641.2834057</v>
      </c>
      <c r="F580" s="4">
        <v>579.36792920000005</v>
      </c>
      <c r="G580" s="4">
        <v>161.3281254</v>
      </c>
      <c r="H580" s="4">
        <v>26.77662024</v>
      </c>
      <c r="I580" t="s">
        <v>16</v>
      </c>
      <c r="J580" s="1">
        <v>45512</v>
      </c>
      <c r="K580" s="4" t="str">
        <f>TRIM(CLEAN(Table1[[#This Row],[Region]]))</f>
        <v>West</v>
      </c>
    </row>
    <row r="581" spans="1:11" x14ac:dyDescent="0.3">
      <c r="A581" s="2">
        <v>587</v>
      </c>
      <c r="B581" t="s">
        <v>14</v>
      </c>
      <c r="C581" t="s">
        <v>19</v>
      </c>
      <c r="D581" s="4">
        <v>61.986413720000002</v>
      </c>
      <c r="E581" s="4">
        <v>634.17007630000001</v>
      </c>
      <c r="F581" s="4">
        <v>448.54258270000003</v>
      </c>
      <c r="G581" s="4">
        <v>206.60932349999999</v>
      </c>
      <c r="H581" s="4">
        <v>31.656096389999998</v>
      </c>
      <c r="I581" t="s">
        <v>18</v>
      </c>
      <c r="J581" s="1">
        <v>45513</v>
      </c>
      <c r="K581" s="4" t="str">
        <f>TRIM(CLEAN(Table1[[#This Row],[Region]]))</f>
        <v>North</v>
      </c>
    </row>
    <row r="582" spans="1:11" x14ac:dyDescent="0.3">
      <c r="A582" s="2">
        <v>588</v>
      </c>
      <c r="B582" t="s">
        <v>21</v>
      </c>
      <c r="C582" t="s">
        <v>17</v>
      </c>
      <c r="D582" s="4">
        <v>30.626376839999999</v>
      </c>
      <c r="E582" s="4">
        <v>266.93452359999998</v>
      </c>
      <c r="F582" s="4">
        <v>772.98052110000003</v>
      </c>
      <c r="G582" s="4">
        <v>194.2641438</v>
      </c>
      <c r="H582" s="4">
        <v>38.090962449999999</v>
      </c>
      <c r="I582" t="s">
        <v>20</v>
      </c>
      <c r="J582" s="1">
        <v>45514</v>
      </c>
      <c r="K582" s="4" t="str">
        <f>TRIM(CLEAN(Table1[[#This Row],[Region]]))</f>
        <v>South</v>
      </c>
    </row>
    <row r="583" spans="1:11" x14ac:dyDescent="0.3">
      <c r="A583" s="2">
        <v>589</v>
      </c>
      <c r="B583" t="s">
        <v>21</v>
      </c>
      <c r="C583" t="s">
        <v>15</v>
      </c>
      <c r="D583" s="4">
        <v>37.466518069999999</v>
      </c>
      <c r="E583" s="4">
        <v>608.59266960000002</v>
      </c>
      <c r="F583" s="4">
        <v>432.22295869999999</v>
      </c>
      <c r="G583" s="4">
        <v>155.68124299999999</v>
      </c>
      <c r="H583" s="4">
        <v>32.307124160000001</v>
      </c>
      <c r="I583" t="s">
        <v>18</v>
      </c>
      <c r="J583" s="1">
        <v>45515</v>
      </c>
      <c r="K583" s="4" t="str">
        <f>TRIM(CLEAN(Table1[[#This Row],[Region]]))</f>
        <v>South</v>
      </c>
    </row>
    <row r="584" spans="1:11" x14ac:dyDescent="0.3">
      <c r="A584" s="2">
        <v>590</v>
      </c>
      <c r="B584" t="s">
        <v>14</v>
      </c>
      <c r="C584" t="s">
        <v>11</v>
      </c>
      <c r="D584" s="4">
        <v>53.486443440000002</v>
      </c>
      <c r="E584" s="4">
        <v>605.52188509999996</v>
      </c>
      <c r="F584" s="4">
        <v>406.56934539999997</v>
      </c>
      <c r="G584" s="4">
        <v>242.5738619</v>
      </c>
      <c r="H584" s="4">
        <v>36.504707570000001</v>
      </c>
      <c r="I584" t="s">
        <v>16</v>
      </c>
      <c r="J584" s="1">
        <v>45516</v>
      </c>
      <c r="K584" s="4" t="str">
        <f>TRIM(CLEAN(Table1[[#This Row],[Region]]))</f>
        <v>North</v>
      </c>
    </row>
    <row r="585" spans="1:11" x14ac:dyDescent="0.3">
      <c r="A585" s="2">
        <v>591</v>
      </c>
      <c r="B585" t="s">
        <v>20</v>
      </c>
      <c r="C585" t="s">
        <v>19</v>
      </c>
      <c r="D585" s="4">
        <v>35.891755019999998</v>
      </c>
      <c r="E585" s="4">
        <v>500.04454939999999</v>
      </c>
      <c r="F585" s="4">
        <v>697.14179019999995</v>
      </c>
      <c r="G585" s="4">
        <v>193.62685160000001</v>
      </c>
      <c r="H585" s="4">
        <v>27.11192891</v>
      </c>
      <c r="I585" t="s">
        <v>18</v>
      </c>
      <c r="J585" s="1">
        <v>45517</v>
      </c>
      <c r="K585" s="4" t="str">
        <f>TRIM(CLEAN(Table1[[#This Row],[Region]]))</f>
        <v>Unknown</v>
      </c>
    </row>
    <row r="586" spans="1:11" x14ac:dyDescent="0.3">
      <c r="A586" s="2">
        <v>592</v>
      </c>
      <c r="B586" t="s">
        <v>12</v>
      </c>
      <c r="C586" t="s">
        <v>19</v>
      </c>
      <c r="D586" s="4">
        <v>50.539879999999997</v>
      </c>
      <c r="E586" s="4">
        <v>370.28313780000002</v>
      </c>
      <c r="F586" s="4">
        <v>303.09152649999999</v>
      </c>
      <c r="G586" s="4">
        <v>188.1132461</v>
      </c>
      <c r="H586" s="4">
        <v>29.958189440000002</v>
      </c>
      <c r="I586" t="s">
        <v>16</v>
      </c>
      <c r="J586" s="1">
        <v>45518</v>
      </c>
      <c r="K586" s="4" t="str">
        <f>TRIM(CLEAN(Table1[[#This Row],[Region]]))</f>
        <v>South</v>
      </c>
    </row>
    <row r="587" spans="1:11" x14ac:dyDescent="0.3">
      <c r="A587" s="2">
        <v>593</v>
      </c>
      <c r="B587" t="s">
        <v>12</v>
      </c>
      <c r="C587" t="s">
        <v>15</v>
      </c>
      <c r="D587" s="4">
        <v>44.722231360000002</v>
      </c>
      <c r="E587" s="4">
        <v>601.52280919999998</v>
      </c>
      <c r="F587" s="4">
        <v>258.31099390000003</v>
      </c>
      <c r="G587" s="4">
        <v>211.6435654</v>
      </c>
      <c r="H587" s="4">
        <v>29.85724008</v>
      </c>
      <c r="I587" t="s">
        <v>16</v>
      </c>
      <c r="J587" s="1">
        <v>45519</v>
      </c>
      <c r="K587" s="4" t="str">
        <f>TRIM(CLEAN(Table1[[#This Row],[Region]]))</f>
        <v>South</v>
      </c>
    </row>
    <row r="588" spans="1:11" x14ac:dyDescent="0.3">
      <c r="A588" s="2">
        <v>594</v>
      </c>
      <c r="B588" t="s">
        <v>21</v>
      </c>
      <c r="C588" t="s">
        <v>15</v>
      </c>
      <c r="D588" s="4">
        <v>57.714389920000002</v>
      </c>
      <c r="E588" s="4">
        <v>475.87689339999997</v>
      </c>
      <c r="F588" s="4">
        <v>494.34683100000001</v>
      </c>
      <c r="G588" s="4">
        <v>236.03860420000001</v>
      </c>
      <c r="H588" s="4">
        <v>30.59339542</v>
      </c>
      <c r="I588" t="s">
        <v>20</v>
      </c>
      <c r="J588" s="1">
        <v>45520</v>
      </c>
      <c r="K588" s="4" t="str">
        <f>TRIM(CLEAN(Table1[[#This Row],[Region]]))</f>
        <v>South</v>
      </c>
    </row>
    <row r="589" spans="1:11" x14ac:dyDescent="0.3">
      <c r="A589" s="2">
        <v>595</v>
      </c>
      <c r="B589" t="s">
        <v>14</v>
      </c>
      <c r="C589" t="s">
        <v>17</v>
      </c>
      <c r="D589" s="4">
        <v>31.04035159</v>
      </c>
      <c r="E589" s="4">
        <v>554.88788439999996</v>
      </c>
      <c r="F589" s="4">
        <v>479.79161720000002</v>
      </c>
      <c r="G589" s="4">
        <v>152.05118780000001</v>
      </c>
      <c r="H589" s="4">
        <v>32.202598029999997</v>
      </c>
      <c r="I589" t="s">
        <v>16</v>
      </c>
      <c r="J589" s="1">
        <v>45521</v>
      </c>
      <c r="K589" s="4" t="str">
        <f>TRIM(CLEAN(Table1[[#This Row],[Region]]))</f>
        <v>North</v>
      </c>
    </row>
    <row r="590" spans="1:11" x14ac:dyDescent="0.3">
      <c r="A590" s="2">
        <v>596</v>
      </c>
      <c r="B590" t="s">
        <v>10</v>
      </c>
      <c r="C590" t="s">
        <v>19</v>
      </c>
      <c r="D590" s="4">
        <v>51.702983619999998</v>
      </c>
      <c r="E590" s="4">
        <v>721.92012720000002</v>
      </c>
      <c r="F590" s="4">
        <v>452.65344219999997</v>
      </c>
      <c r="G590" s="4">
        <v>243.6459174</v>
      </c>
      <c r="H590" s="4">
        <v>25.40515439</v>
      </c>
      <c r="I590" t="s">
        <v>18</v>
      </c>
      <c r="J590" s="1">
        <v>45522</v>
      </c>
      <c r="K590" s="4" t="str">
        <f>TRIM(CLEAN(Table1[[#This Row],[Region]]))</f>
        <v>West</v>
      </c>
    </row>
    <row r="591" spans="1:11" x14ac:dyDescent="0.3">
      <c r="A591" s="2">
        <v>597</v>
      </c>
      <c r="B591" t="s">
        <v>12</v>
      </c>
      <c r="C591" t="s">
        <v>15</v>
      </c>
      <c r="D591" s="4">
        <v>301.64819740000002</v>
      </c>
      <c r="E591" s="4">
        <v>2100.7347</v>
      </c>
      <c r="F591" s="4">
        <v>599.27157090000003</v>
      </c>
      <c r="G591" s="4">
        <v>272.49267600000002</v>
      </c>
      <c r="H591" s="4">
        <v>33.23666343</v>
      </c>
      <c r="I591" t="s">
        <v>16</v>
      </c>
      <c r="J591" s="1">
        <v>45523</v>
      </c>
      <c r="K591" s="4" t="str">
        <f>TRIM(CLEAN(Table1[[#This Row],[Region]]))</f>
        <v>South</v>
      </c>
    </row>
    <row r="592" spans="1:11" x14ac:dyDescent="0.3">
      <c r="A592" s="2">
        <v>598</v>
      </c>
      <c r="B592" t="s">
        <v>10</v>
      </c>
      <c r="C592" t="s">
        <v>15</v>
      </c>
      <c r="D592" s="4">
        <v>48.05054792</v>
      </c>
      <c r="E592" s="4">
        <v>408.31153080000001</v>
      </c>
      <c r="F592" s="4">
        <v>371.01525809999998</v>
      </c>
      <c r="G592" s="4">
        <v>128.6938816</v>
      </c>
      <c r="H592" s="4">
        <v>21.86057031</v>
      </c>
      <c r="I592" t="s">
        <v>18</v>
      </c>
      <c r="J592" s="1">
        <v>45524</v>
      </c>
      <c r="K592" s="4" t="str">
        <f>TRIM(CLEAN(Table1[[#This Row],[Region]]))</f>
        <v>West</v>
      </c>
    </row>
    <row r="593" spans="1:11" x14ac:dyDescent="0.3">
      <c r="A593" s="2">
        <v>599</v>
      </c>
      <c r="B593" t="s">
        <v>20</v>
      </c>
      <c r="C593" t="s">
        <v>20</v>
      </c>
      <c r="D593" s="4">
        <v>46.311697700000003</v>
      </c>
      <c r="E593" s="4">
        <v>466.42690049999999</v>
      </c>
      <c r="F593" s="4">
        <v>487.70005509999999</v>
      </c>
      <c r="G593" s="4">
        <v>199.07849999999999</v>
      </c>
      <c r="H593" s="4">
        <v>23.32121669</v>
      </c>
      <c r="I593" t="s">
        <v>16</v>
      </c>
      <c r="J593" s="1">
        <v>45525</v>
      </c>
      <c r="K593" s="4" t="str">
        <f>TRIM(CLEAN(Table1[[#This Row],[Region]]))</f>
        <v>Unknown</v>
      </c>
    </row>
    <row r="594" spans="1:11" x14ac:dyDescent="0.3">
      <c r="A594" s="2">
        <v>600</v>
      </c>
      <c r="B594" t="s">
        <v>12</v>
      </c>
      <c r="C594" t="s">
        <v>11</v>
      </c>
      <c r="D594" s="4">
        <v>54.017712830000001</v>
      </c>
      <c r="E594" s="4">
        <v>421.05546399999997</v>
      </c>
      <c r="F594" s="4">
        <v>436.78728569999998</v>
      </c>
      <c r="G594" s="4">
        <v>184.75388939999999</v>
      </c>
      <c r="H594" s="4">
        <v>40.678130510000003</v>
      </c>
      <c r="I594" t="s">
        <v>18</v>
      </c>
      <c r="J594" s="1">
        <v>45526</v>
      </c>
      <c r="K594" s="4" t="str">
        <f>TRIM(CLEAN(Table1[[#This Row],[Region]]))</f>
        <v>South</v>
      </c>
    </row>
    <row r="595" spans="1:11" x14ac:dyDescent="0.3">
      <c r="A595" s="2">
        <v>601</v>
      </c>
      <c r="B595" t="s">
        <v>12</v>
      </c>
      <c r="C595" t="s">
        <v>20</v>
      </c>
      <c r="D595" s="4">
        <v>48.07888947</v>
      </c>
      <c r="E595" s="4">
        <v>543.34897169999999</v>
      </c>
      <c r="F595" s="4">
        <v>373.05378000000002</v>
      </c>
      <c r="G595" s="4">
        <v>234.96152900000001</v>
      </c>
      <c r="H595" s="4">
        <v>27.4493963</v>
      </c>
      <c r="I595" t="s">
        <v>20</v>
      </c>
      <c r="J595" s="1">
        <v>45527</v>
      </c>
      <c r="K595" s="4" t="str">
        <f>TRIM(CLEAN(Table1[[#This Row],[Region]]))</f>
        <v>South</v>
      </c>
    </row>
    <row r="596" spans="1:11" x14ac:dyDescent="0.3">
      <c r="A596" s="2">
        <v>602</v>
      </c>
      <c r="B596" t="s">
        <v>13</v>
      </c>
      <c r="C596" t="s">
        <v>20</v>
      </c>
      <c r="D596" s="4">
        <v>63.904997809999998</v>
      </c>
      <c r="E596" s="4">
        <v>419.3932441</v>
      </c>
      <c r="F596" s="4">
        <v>472.57918990000002</v>
      </c>
      <c r="G596" s="4">
        <v>139.16703939999999</v>
      </c>
      <c r="H596" s="4">
        <v>33.647596749999998</v>
      </c>
      <c r="I596" t="s">
        <v>16</v>
      </c>
      <c r="J596" s="1">
        <v>45528</v>
      </c>
      <c r="K596" s="4" t="str">
        <f>TRIM(CLEAN(Table1[[#This Row],[Region]]))</f>
        <v>East</v>
      </c>
    </row>
    <row r="597" spans="1:11" x14ac:dyDescent="0.3">
      <c r="A597" s="2">
        <v>603</v>
      </c>
      <c r="B597" t="s">
        <v>12</v>
      </c>
      <c r="C597" t="s">
        <v>19</v>
      </c>
      <c r="D597" s="4">
        <v>38.885869880000001</v>
      </c>
      <c r="E597" s="4">
        <v>452.7148578</v>
      </c>
      <c r="F597" s="4">
        <v>582.31149640000001</v>
      </c>
      <c r="G597" s="4">
        <v>281.44691130000001</v>
      </c>
      <c r="H597" s="4">
        <v>38.491451959999999</v>
      </c>
      <c r="I597" t="s">
        <v>18</v>
      </c>
      <c r="J597" s="1">
        <v>45529</v>
      </c>
      <c r="K597" s="4" t="str">
        <f>TRIM(CLEAN(Table1[[#This Row],[Region]]))</f>
        <v>South</v>
      </c>
    </row>
    <row r="598" spans="1:11" x14ac:dyDescent="0.3">
      <c r="A598" s="2">
        <v>604</v>
      </c>
      <c r="B598" t="s">
        <v>14</v>
      </c>
      <c r="C598" t="s">
        <v>19</v>
      </c>
      <c r="D598" s="4">
        <v>49.483558449999997</v>
      </c>
      <c r="E598" s="4">
        <v>371.55696260000002</v>
      </c>
      <c r="F598" s="4">
        <v>734.46817450000003</v>
      </c>
      <c r="G598" s="4">
        <v>119.6052597</v>
      </c>
      <c r="H598" s="4">
        <v>18.42771961</v>
      </c>
      <c r="I598" t="s">
        <v>16</v>
      </c>
      <c r="J598" s="1">
        <v>45530</v>
      </c>
      <c r="K598" s="4" t="str">
        <f>TRIM(CLEAN(Table1[[#This Row],[Region]]))</f>
        <v>North</v>
      </c>
    </row>
    <row r="599" spans="1:11" x14ac:dyDescent="0.3">
      <c r="A599" s="2">
        <v>605</v>
      </c>
      <c r="B599" t="s">
        <v>14</v>
      </c>
      <c r="C599" t="s">
        <v>11</v>
      </c>
      <c r="D599" s="4">
        <v>52.056863749999998</v>
      </c>
      <c r="E599" s="4">
        <v>486.79129940000001</v>
      </c>
      <c r="F599" s="4">
        <v>549.53027789999999</v>
      </c>
      <c r="G599" s="4">
        <v>187.78595300000001</v>
      </c>
      <c r="H599" s="4">
        <v>35.631230899999998</v>
      </c>
      <c r="I599" t="s">
        <v>16</v>
      </c>
      <c r="J599" s="1">
        <v>45531</v>
      </c>
      <c r="K599" s="4" t="str">
        <f>TRIM(CLEAN(Table1[[#This Row],[Region]]))</f>
        <v>North</v>
      </c>
    </row>
    <row r="600" spans="1:11" x14ac:dyDescent="0.3">
      <c r="A600" s="2">
        <v>606</v>
      </c>
      <c r="B600" t="s">
        <v>14</v>
      </c>
      <c r="C600" t="s">
        <v>17</v>
      </c>
      <c r="D600" s="4">
        <v>46.21545948</v>
      </c>
      <c r="E600" s="4">
        <v>517.67547930000001</v>
      </c>
      <c r="F600" s="4">
        <v>178.69979979999999</v>
      </c>
      <c r="G600" s="4">
        <v>221.7148038</v>
      </c>
      <c r="H600" s="4">
        <v>33.244718030000001</v>
      </c>
      <c r="I600" t="s">
        <v>16</v>
      </c>
      <c r="J600" s="1">
        <v>45532</v>
      </c>
      <c r="K600" s="4" t="str">
        <f>TRIM(CLEAN(Table1[[#This Row],[Region]]))</f>
        <v>North</v>
      </c>
    </row>
    <row r="601" spans="1:11" x14ac:dyDescent="0.3">
      <c r="A601" s="2">
        <v>607</v>
      </c>
      <c r="B601" t="s">
        <v>10</v>
      </c>
      <c r="C601" t="s">
        <v>17</v>
      </c>
      <c r="D601" s="4">
        <v>21.287173370000001</v>
      </c>
      <c r="E601" s="4">
        <v>231.52119529999999</v>
      </c>
      <c r="F601" s="4">
        <v>475.42318970000002</v>
      </c>
      <c r="G601" s="4">
        <v>165.68315770000001</v>
      </c>
      <c r="H601" s="4">
        <v>38.201986400000003</v>
      </c>
      <c r="I601" t="s">
        <v>16</v>
      </c>
      <c r="J601" s="1">
        <v>45533</v>
      </c>
      <c r="K601" s="4" t="str">
        <f>TRIM(CLEAN(Table1[[#This Row],[Region]]))</f>
        <v>West</v>
      </c>
    </row>
    <row r="602" spans="1:11" x14ac:dyDescent="0.3">
      <c r="A602" s="2">
        <v>608</v>
      </c>
      <c r="B602" t="s">
        <v>20</v>
      </c>
      <c r="C602" t="s">
        <v>15</v>
      </c>
      <c r="D602" s="4">
        <v>48.390950920000002</v>
      </c>
      <c r="E602" s="4">
        <v>525.95735609999997</v>
      </c>
      <c r="F602" s="4">
        <v>485.97633489999998</v>
      </c>
      <c r="G602" s="4">
        <v>199.07849999999999</v>
      </c>
      <c r="H602" s="4">
        <v>24.092384190000001</v>
      </c>
      <c r="I602" t="s">
        <v>20</v>
      </c>
      <c r="J602" s="1">
        <v>45534</v>
      </c>
      <c r="K602" s="4" t="str">
        <f>TRIM(CLEAN(Table1[[#This Row],[Region]]))</f>
        <v>Unknown</v>
      </c>
    </row>
    <row r="603" spans="1:11" x14ac:dyDescent="0.3">
      <c r="A603" s="2">
        <v>609</v>
      </c>
      <c r="B603" t="s">
        <v>12</v>
      </c>
      <c r="C603" t="s">
        <v>15</v>
      </c>
      <c r="D603" s="4">
        <v>59.001769869999997</v>
      </c>
      <c r="E603" s="4">
        <v>495.42997689999999</v>
      </c>
      <c r="F603" s="4">
        <v>592.34508110000002</v>
      </c>
      <c r="G603" s="4">
        <v>211.11178179999999</v>
      </c>
      <c r="H603" s="4">
        <v>37.256273280000002</v>
      </c>
      <c r="I603" t="s">
        <v>16</v>
      </c>
      <c r="J603" s="1">
        <v>45535</v>
      </c>
      <c r="K603" s="4" t="str">
        <f>TRIM(CLEAN(Table1[[#This Row],[Region]]))</f>
        <v>South</v>
      </c>
    </row>
    <row r="604" spans="1:11" x14ac:dyDescent="0.3">
      <c r="A604" s="2">
        <v>610</v>
      </c>
      <c r="B604" t="s">
        <v>14</v>
      </c>
      <c r="C604" t="s">
        <v>17</v>
      </c>
      <c r="D604" s="4">
        <v>57.781091859999997</v>
      </c>
      <c r="E604" s="4">
        <v>423.50080509999998</v>
      </c>
      <c r="F604" s="4">
        <v>502.1772363</v>
      </c>
      <c r="G604" s="4">
        <v>203.88799599999999</v>
      </c>
      <c r="H604" s="4">
        <v>29.664100000000001</v>
      </c>
      <c r="I604" t="s">
        <v>16</v>
      </c>
      <c r="J604" s="1">
        <v>45536</v>
      </c>
      <c r="K604" s="4" t="str">
        <f>TRIM(CLEAN(Table1[[#This Row],[Region]]))</f>
        <v>North</v>
      </c>
    </row>
    <row r="605" spans="1:11" x14ac:dyDescent="0.3">
      <c r="A605" s="2">
        <v>611</v>
      </c>
      <c r="B605" t="s">
        <v>10</v>
      </c>
      <c r="C605" t="s">
        <v>15</v>
      </c>
      <c r="D605" s="4">
        <v>53.547784819999997</v>
      </c>
      <c r="E605" s="4">
        <v>702.86289239999996</v>
      </c>
      <c r="F605" s="4">
        <v>630.37067009999998</v>
      </c>
      <c r="G605" s="4">
        <v>200.2969085</v>
      </c>
      <c r="H605" s="4">
        <v>35.273889070000003</v>
      </c>
      <c r="I605" t="s">
        <v>18</v>
      </c>
      <c r="J605" s="1">
        <v>45537</v>
      </c>
      <c r="K605" s="4" t="str">
        <f>TRIM(CLEAN(Table1[[#This Row],[Region]]))</f>
        <v>West</v>
      </c>
    </row>
    <row r="606" spans="1:11" x14ac:dyDescent="0.3">
      <c r="A606" s="2">
        <v>612</v>
      </c>
      <c r="B606" t="s">
        <v>13</v>
      </c>
      <c r="C606" t="s">
        <v>19</v>
      </c>
      <c r="D606" s="4">
        <v>39.021376420000003</v>
      </c>
      <c r="E606" s="4">
        <v>595.84765279999999</v>
      </c>
      <c r="F606" s="4">
        <v>527.00047389999997</v>
      </c>
      <c r="G606" s="4">
        <v>242.9344256</v>
      </c>
      <c r="H606" s="4">
        <v>29.819894819999998</v>
      </c>
      <c r="I606" t="s">
        <v>16</v>
      </c>
      <c r="J606" s="1">
        <v>45538</v>
      </c>
      <c r="K606" s="4" t="str">
        <f>TRIM(CLEAN(Table1[[#This Row],[Region]]))</f>
        <v>East</v>
      </c>
    </row>
    <row r="607" spans="1:11" x14ac:dyDescent="0.3">
      <c r="A607" s="2">
        <v>613</v>
      </c>
      <c r="B607" t="s">
        <v>10</v>
      </c>
      <c r="C607" t="s">
        <v>20</v>
      </c>
      <c r="D607" s="4">
        <v>53.953094620000002</v>
      </c>
      <c r="E607" s="4">
        <v>390.35975139999999</v>
      </c>
      <c r="F607" s="4">
        <v>667.05576829999995</v>
      </c>
      <c r="G607" s="4">
        <v>180.27636530000001</v>
      </c>
      <c r="H607" s="4">
        <v>33.853844029999998</v>
      </c>
      <c r="I607" t="s">
        <v>16</v>
      </c>
      <c r="J607" s="1">
        <v>45539</v>
      </c>
      <c r="K607" s="4" t="str">
        <f>TRIM(CLEAN(Table1[[#This Row],[Region]]))</f>
        <v>West</v>
      </c>
    </row>
    <row r="608" spans="1:11" x14ac:dyDescent="0.3">
      <c r="A608" s="2">
        <v>615</v>
      </c>
      <c r="B608" t="s">
        <v>12</v>
      </c>
      <c r="C608" t="s">
        <v>19</v>
      </c>
      <c r="D608" s="4">
        <v>53.53482906</v>
      </c>
      <c r="E608" s="4">
        <v>624.44980759999999</v>
      </c>
      <c r="F608" s="4">
        <v>497.32121610000002</v>
      </c>
      <c r="G608" s="4">
        <v>174.6698596</v>
      </c>
      <c r="H608" s="4">
        <v>20.802992079999999</v>
      </c>
      <c r="I608" t="s">
        <v>18</v>
      </c>
      <c r="J608" s="1">
        <v>45541</v>
      </c>
      <c r="K608" s="4" t="str">
        <f>TRIM(CLEAN(Table1[[#This Row],[Region]]))</f>
        <v>South</v>
      </c>
    </row>
    <row r="609" spans="1:11" x14ac:dyDescent="0.3">
      <c r="A609" s="2">
        <v>616</v>
      </c>
      <c r="B609" t="s">
        <v>13</v>
      </c>
      <c r="C609" t="s">
        <v>15</v>
      </c>
      <c r="D609" s="4">
        <v>51.21505011</v>
      </c>
      <c r="E609" s="4">
        <v>513.2020923</v>
      </c>
      <c r="F609" s="4">
        <v>579.19698419999997</v>
      </c>
      <c r="G609" s="4">
        <v>157.53352570000001</v>
      </c>
      <c r="H609" s="4">
        <v>14.39727989</v>
      </c>
      <c r="I609" t="s">
        <v>16</v>
      </c>
      <c r="J609" s="1">
        <v>45542</v>
      </c>
      <c r="K609" s="4" t="str">
        <f>TRIM(CLEAN(Table1[[#This Row],[Region]]))</f>
        <v>East</v>
      </c>
    </row>
    <row r="610" spans="1:11" x14ac:dyDescent="0.3">
      <c r="A610" s="2">
        <v>617</v>
      </c>
      <c r="B610" t="s">
        <v>10</v>
      </c>
      <c r="C610" t="s">
        <v>11</v>
      </c>
      <c r="D610" s="4">
        <v>40.236247290000001</v>
      </c>
      <c r="E610" s="4">
        <v>536.14420370000005</v>
      </c>
      <c r="F610" s="4">
        <v>411.3367116</v>
      </c>
      <c r="G610" s="4">
        <v>185.76206859999999</v>
      </c>
      <c r="H610" s="4">
        <v>31.049577670000001</v>
      </c>
      <c r="I610" t="s">
        <v>18</v>
      </c>
      <c r="J610" s="1">
        <v>45543</v>
      </c>
      <c r="K610" s="4" t="str">
        <f>TRIM(CLEAN(Table1[[#This Row],[Region]]))</f>
        <v>West</v>
      </c>
    </row>
    <row r="611" spans="1:11" x14ac:dyDescent="0.3">
      <c r="A611" s="2">
        <v>618</v>
      </c>
      <c r="B611" t="s">
        <v>14</v>
      </c>
      <c r="C611" t="s">
        <v>19</v>
      </c>
      <c r="D611" s="4">
        <v>41.075441609999999</v>
      </c>
      <c r="E611" s="4">
        <v>533.83466669999996</v>
      </c>
      <c r="F611" s="4">
        <v>385.19846380000001</v>
      </c>
      <c r="G611" s="4">
        <v>175.06174060000001</v>
      </c>
      <c r="H611" s="4">
        <v>28.68132481</v>
      </c>
      <c r="I611" t="s">
        <v>16</v>
      </c>
      <c r="J611" s="1">
        <v>45544</v>
      </c>
      <c r="K611" s="4" t="str">
        <f>TRIM(CLEAN(Table1[[#This Row],[Region]]))</f>
        <v>North</v>
      </c>
    </row>
    <row r="612" spans="1:11" x14ac:dyDescent="0.3">
      <c r="A612" s="2">
        <v>619</v>
      </c>
      <c r="B612" t="s">
        <v>14</v>
      </c>
      <c r="C612" t="s">
        <v>11</v>
      </c>
      <c r="D612" s="4">
        <v>50.539879999999997</v>
      </c>
      <c r="E612" s="4">
        <v>291.41841410000001</v>
      </c>
      <c r="F612" s="4">
        <v>404.47774800000002</v>
      </c>
      <c r="G612" s="4">
        <v>177.5598099</v>
      </c>
      <c r="H612" s="4">
        <v>31.991104759999999</v>
      </c>
      <c r="I612" t="s">
        <v>20</v>
      </c>
      <c r="J612" s="1">
        <v>45545</v>
      </c>
      <c r="K612" s="4" t="str">
        <f>TRIM(CLEAN(Table1[[#This Row],[Region]]))</f>
        <v>North</v>
      </c>
    </row>
    <row r="613" spans="1:11" x14ac:dyDescent="0.3">
      <c r="A613" s="2">
        <v>620</v>
      </c>
      <c r="B613" t="s">
        <v>14</v>
      </c>
      <c r="C613" t="s">
        <v>11</v>
      </c>
      <c r="D613" s="4">
        <v>47.788869050000002</v>
      </c>
      <c r="E613" s="4">
        <v>481.31304030000001</v>
      </c>
      <c r="F613" s="4">
        <v>390.09412589999999</v>
      </c>
      <c r="G613" s="4">
        <v>258.26637090000003</v>
      </c>
      <c r="H613" s="4">
        <v>28.73923267</v>
      </c>
      <c r="I613" t="s">
        <v>16</v>
      </c>
      <c r="J613" s="1">
        <v>45546</v>
      </c>
      <c r="K613" s="4" t="str">
        <f>TRIM(CLEAN(Table1[[#This Row],[Region]]))</f>
        <v>North</v>
      </c>
    </row>
    <row r="614" spans="1:11" x14ac:dyDescent="0.3">
      <c r="A614" s="2">
        <v>621</v>
      </c>
      <c r="B614" t="s">
        <v>13</v>
      </c>
      <c r="C614" t="s">
        <v>19</v>
      </c>
      <c r="D614" s="4">
        <v>41.597185690000003</v>
      </c>
      <c r="E614" s="4">
        <v>476.10871580000003</v>
      </c>
      <c r="F614" s="4">
        <v>542.70743049999999</v>
      </c>
      <c r="G614" s="4">
        <v>187.29482730000001</v>
      </c>
      <c r="H614" s="4">
        <v>40.090386909999999</v>
      </c>
      <c r="I614" t="s">
        <v>20</v>
      </c>
      <c r="J614" s="1">
        <v>45547</v>
      </c>
      <c r="K614" s="4" t="str">
        <f>TRIM(CLEAN(Table1[[#This Row],[Region]]))</f>
        <v>East</v>
      </c>
    </row>
    <row r="615" spans="1:11" x14ac:dyDescent="0.3">
      <c r="A615" s="2">
        <v>622</v>
      </c>
      <c r="B615" t="s">
        <v>13</v>
      </c>
      <c r="C615" t="s">
        <v>19</v>
      </c>
      <c r="D615" s="4">
        <v>40.771698100000002</v>
      </c>
      <c r="E615" s="4">
        <v>503.25760000000002</v>
      </c>
      <c r="F615" s="4">
        <v>259.82303639999998</v>
      </c>
      <c r="G615" s="4">
        <v>166.85466640000001</v>
      </c>
      <c r="H615" s="4">
        <v>31.152685640000001</v>
      </c>
      <c r="I615" t="s">
        <v>20</v>
      </c>
      <c r="J615" s="1">
        <v>45548</v>
      </c>
      <c r="K615" s="4" t="str">
        <f>TRIM(CLEAN(Table1[[#This Row],[Region]]))</f>
        <v>East</v>
      </c>
    </row>
    <row r="616" spans="1:11" x14ac:dyDescent="0.3">
      <c r="A616" s="2">
        <v>623</v>
      </c>
      <c r="B616" t="s">
        <v>14</v>
      </c>
      <c r="C616" t="s">
        <v>19</v>
      </c>
      <c r="D616" s="4">
        <v>46.961691520000002</v>
      </c>
      <c r="E616" s="4">
        <v>533.3727864</v>
      </c>
      <c r="F616" s="4">
        <v>293.2835968</v>
      </c>
      <c r="G616" s="4">
        <v>201.4039387</v>
      </c>
      <c r="H616" s="4">
        <v>27.76526136</v>
      </c>
      <c r="I616" t="s">
        <v>18</v>
      </c>
      <c r="J616" s="1">
        <v>45549</v>
      </c>
      <c r="K616" s="4" t="str">
        <f>TRIM(CLEAN(Table1[[#This Row],[Region]]))</f>
        <v>North</v>
      </c>
    </row>
    <row r="617" spans="1:11" x14ac:dyDescent="0.3">
      <c r="A617" s="2">
        <v>624</v>
      </c>
      <c r="B617" t="s">
        <v>10</v>
      </c>
      <c r="C617" t="s">
        <v>19</v>
      </c>
      <c r="D617" s="4">
        <v>65.681047950000007</v>
      </c>
      <c r="E617" s="4">
        <v>470.2389038</v>
      </c>
      <c r="F617" s="4">
        <v>703.52957909999998</v>
      </c>
      <c r="G617" s="4">
        <v>205.21139700000001</v>
      </c>
      <c r="H617" s="4">
        <v>31.686815330000002</v>
      </c>
      <c r="I617" t="s">
        <v>16</v>
      </c>
      <c r="J617" s="1">
        <v>45550</v>
      </c>
      <c r="K617" s="4" t="str">
        <f>TRIM(CLEAN(Table1[[#This Row],[Region]]))</f>
        <v>West</v>
      </c>
    </row>
    <row r="618" spans="1:11" x14ac:dyDescent="0.3">
      <c r="A618" s="2">
        <v>625</v>
      </c>
      <c r="B618" t="s">
        <v>13</v>
      </c>
      <c r="C618" t="s">
        <v>19</v>
      </c>
      <c r="D618" s="4">
        <v>124.4004589</v>
      </c>
      <c r="E618" s="4">
        <v>490.98752589999998</v>
      </c>
      <c r="F618" s="4">
        <v>392.98839349999997</v>
      </c>
      <c r="G618" s="4">
        <v>140.65593849999999</v>
      </c>
      <c r="H618" s="4">
        <v>27.85662602</v>
      </c>
      <c r="I618" t="s">
        <v>16</v>
      </c>
      <c r="J618" s="1">
        <v>45551</v>
      </c>
      <c r="K618" s="4" t="str">
        <f>TRIM(CLEAN(Table1[[#This Row],[Region]]))</f>
        <v>East</v>
      </c>
    </row>
    <row r="619" spans="1:11" x14ac:dyDescent="0.3">
      <c r="A619" s="2">
        <v>626</v>
      </c>
      <c r="B619" t="s">
        <v>14</v>
      </c>
      <c r="C619" t="s">
        <v>19</v>
      </c>
      <c r="D619" s="4">
        <v>49.859804619999998</v>
      </c>
      <c r="E619" s="4">
        <v>602.33855819999997</v>
      </c>
      <c r="F619" s="4">
        <v>504.00178210000001</v>
      </c>
      <c r="G619" s="4">
        <v>185.07968640000001</v>
      </c>
      <c r="H619" s="4">
        <v>30.46465117</v>
      </c>
      <c r="I619" t="s">
        <v>18</v>
      </c>
      <c r="J619" s="1">
        <v>45552</v>
      </c>
      <c r="K619" s="4" t="str">
        <f>TRIM(CLEAN(Table1[[#This Row],[Region]]))</f>
        <v>North</v>
      </c>
    </row>
    <row r="620" spans="1:11" x14ac:dyDescent="0.3">
      <c r="A620" s="2">
        <v>627</v>
      </c>
      <c r="B620" t="s">
        <v>14</v>
      </c>
      <c r="C620" t="s">
        <v>19</v>
      </c>
      <c r="D620" s="4">
        <v>51.01644288</v>
      </c>
      <c r="E620" s="4">
        <v>481.5415337</v>
      </c>
      <c r="F620" s="4">
        <v>301.30242989999999</v>
      </c>
      <c r="G620" s="4">
        <v>183.06578379999999</v>
      </c>
      <c r="H620" s="4">
        <v>23.912599060000002</v>
      </c>
      <c r="I620" t="s">
        <v>16</v>
      </c>
      <c r="J620" s="1">
        <v>45553</v>
      </c>
      <c r="K620" s="4" t="str">
        <f>TRIM(CLEAN(Table1[[#This Row],[Region]]))</f>
        <v>North</v>
      </c>
    </row>
    <row r="621" spans="1:11" x14ac:dyDescent="0.3">
      <c r="A621" s="2">
        <v>628</v>
      </c>
      <c r="B621" t="s">
        <v>12</v>
      </c>
      <c r="C621" t="s">
        <v>15</v>
      </c>
      <c r="D621" s="4">
        <v>38.689736089999997</v>
      </c>
      <c r="E621" s="4">
        <v>430.1804467</v>
      </c>
      <c r="F621" s="4">
        <v>491.29491209999998</v>
      </c>
      <c r="G621" s="4">
        <v>191.39278630000001</v>
      </c>
      <c r="H621" s="4">
        <v>29.957073990000001</v>
      </c>
      <c r="I621" t="s">
        <v>18</v>
      </c>
      <c r="J621" s="1">
        <v>45554</v>
      </c>
      <c r="K621" s="4" t="str">
        <f>TRIM(CLEAN(Table1[[#This Row],[Region]]))</f>
        <v>South</v>
      </c>
    </row>
    <row r="622" spans="1:11" x14ac:dyDescent="0.3">
      <c r="A622" s="2">
        <v>629</v>
      </c>
      <c r="B622" t="s">
        <v>13</v>
      </c>
      <c r="C622" t="s">
        <v>11</v>
      </c>
      <c r="D622" s="4">
        <v>32.371675160000002</v>
      </c>
      <c r="E622" s="4">
        <v>472.42978069999998</v>
      </c>
      <c r="F622" s="4">
        <v>393.71919989999998</v>
      </c>
      <c r="G622" s="4">
        <v>236.27641869999999</v>
      </c>
      <c r="H622" s="4">
        <v>27.610738019999999</v>
      </c>
      <c r="I622" t="s">
        <v>20</v>
      </c>
      <c r="J622" s="1">
        <v>45555</v>
      </c>
      <c r="K622" s="4" t="str">
        <f>TRIM(CLEAN(Table1[[#This Row],[Region]]))</f>
        <v>East</v>
      </c>
    </row>
    <row r="623" spans="1:11" x14ac:dyDescent="0.3">
      <c r="A623" s="2">
        <v>630</v>
      </c>
      <c r="B623" t="s">
        <v>20</v>
      </c>
      <c r="C623" t="s">
        <v>19</v>
      </c>
      <c r="D623" s="4">
        <v>39.733592649999999</v>
      </c>
      <c r="E623" s="4">
        <v>594.06961439999998</v>
      </c>
      <c r="F623" s="4">
        <v>292.42926019999999</v>
      </c>
      <c r="G623" s="4">
        <v>206.8335936</v>
      </c>
      <c r="H623" s="4">
        <v>24.386316870000002</v>
      </c>
      <c r="I623" t="s">
        <v>18</v>
      </c>
      <c r="J623" s="1">
        <v>45556</v>
      </c>
      <c r="K623" s="4" t="str">
        <f>TRIM(CLEAN(Table1[[#This Row],[Region]]))</f>
        <v>Unknown</v>
      </c>
    </row>
    <row r="624" spans="1:11" x14ac:dyDescent="0.3">
      <c r="A624" s="2">
        <v>631</v>
      </c>
      <c r="B624" t="s">
        <v>14</v>
      </c>
      <c r="C624" t="s">
        <v>15</v>
      </c>
      <c r="D624" s="4">
        <v>52.470773780000002</v>
      </c>
      <c r="E624" s="4">
        <v>549.61649060000002</v>
      </c>
      <c r="F624" s="4">
        <v>640.4304525</v>
      </c>
      <c r="G624" s="4">
        <v>261.39686740000002</v>
      </c>
      <c r="H624" s="4">
        <v>39.878679339999998</v>
      </c>
      <c r="I624" t="s">
        <v>20</v>
      </c>
      <c r="J624" s="1">
        <v>45557</v>
      </c>
      <c r="K624" s="4" t="str">
        <f>TRIM(CLEAN(Table1[[#This Row],[Region]]))</f>
        <v>North</v>
      </c>
    </row>
    <row r="625" spans="1:11" x14ac:dyDescent="0.3">
      <c r="A625" s="2">
        <v>632</v>
      </c>
      <c r="B625" t="s">
        <v>14</v>
      </c>
      <c r="C625" t="s">
        <v>15</v>
      </c>
      <c r="D625" s="4">
        <v>254.36655289999999</v>
      </c>
      <c r="E625" s="4">
        <v>2017.707189</v>
      </c>
      <c r="F625" s="4">
        <v>621.9078872</v>
      </c>
      <c r="G625" s="4">
        <v>199.41698220000001</v>
      </c>
      <c r="H625" s="4">
        <v>24.581323149999999</v>
      </c>
      <c r="I625" t="s">
        <v>18</v>
      </c>
      <c r="J625" s="1">
        <v>45558</v>
      </c>
      <c r="K625" s="4" t="str">
        <f>TRIM(CLEAN(Table1[[#This Row],[Region]]))</f>
        <v>North</v>
      </c>
    </row>
    <row r="626" spans="1:11" x14ac:dyDescent="0.3">
      <c r="A626" s="2">
        <v>633</v>
      </c>
      <c r="B626" t="s">
        <v>10</v>
      </c>
      <c r="C626" t="s">
        <v>11</v>
      </c>
      <c r="D626" s="4">
        <v>57.02406569</v>
      </c>
      <c r="E626" s="4">
        <v>519.15392989999998</v>
      </c>
      <c r="F626" s="4">
        <v>467.11742509999999</v>
      </c>
      <c r="G626" s="4">
        <v>288.80436400000002</v>
      </c>
      <c r="H626" s="4">
        <v>30.03482112</v>
      </c>
      <c r="I626" t="s">
        <v>16</v>
      </c>
      <c r="J626" s="1">
        <v>45559</v>
      </c>
      <c r="K626" s="4" t="str">
        <f>TRIM(CLEAN(Table1[[#This Row],[Region]]))</f>
        <v>West</v>
      </c>
    </row>
    <row r="627" spans="1:11" x14ac:dyDescent="0.3">
      <c r="A627" s="2">
        <v>634</v>
      </c>
      <c r="B627" t="s">
        <v>20</v>
      </c>
      <c r="C627" t="s">
        <v>19</v>
      </c>
      <c r="D627" s="4">
        <v>50.96749895</v>
      </c>
      <c r="E627" s="4">
        <v>444.02575259999998</v>
      </c>
      <c r="F627" s="4">
        <v>599.93028389999995</v>
      </c>
      <c r="G627" s="4">
        <v>176.96124929999999</v>
      </c>
      <c r="H627" s="4">
        <v>25.985959829999999</v>
      </c>
      <c r="I627" t="s">
        <v>16</v>
      </c>
      <c r="J627" s="1">
        <v>45560</v>
      </c>
      <c r="K627" s="4" t="str">
        <f>TRIM(CLEAN(Table1[[#This Row],[Region]]))</f>
        <v>Unknown</v>
      </c>
    </row>
    <row r="628" spans="1:11" x14ac:dyDescent="0.3">
      <c r="A628" s="2">
        <v>635</v>
      </c>
      <c r="B628" t="s">
        <v>21</v>
      </c>
      <c r="C628" t="s">
        <v>17</v>
      </c>
      <c r="D628" s="4">
        <v>50.539879999999997</v>
      </c>
      <c r="E628" s="4">
        <v>480.60505999999998</v>
      </c>
      <c r="F628" s="4">
        <v>708.39512249999996</v>
      </c>
      <c r="G628" s="4">
        <v>161.52188090000001</v>
      </c>
      <c r="H628" s="4">
        <v>31.48519735</v>
      </c>
      <c r="I628" t="s">
        <v>18</v>
      </c>
      <c r="J628" s="1">
        <v>45561</v>
      </c>
      <c r="K628" s="4" t="str">
        <f>TRIM(CLEAN(Table1[[#This Row],[Region]]))</f>
        <v>South</v>
      </c>
    </row>
    <row r="629" spans="1:11" x14ac:dyDescent="0.3">
      <c r="A629" s="2">
        <v>636</v>
      </c>
      <c r="B629" t="s">
        <v>12</v>
      </c>
      <c r="C629" t="s">
        <v>17</v>
      </c>
      <c r="D629" s="4">
        <v>43.959877249999998</v>
      </c>
      <c r="E629" s="4">
        <v>433.66956779999998</v>
      </c>
      <c r="F629" s="4">
        <v>570.48911199999998</v>
      </c>
      <c r="G629" s="4">
        <v>227.3651337</v>
      </c>
      <c r="H629" s="4">
        <v>23.62807433</v>
      </c>
      <c r="I629" t="s">
        <v>16</v>
      </c>
      <c r="J629" s="1">
        <v>45562</v>
      </c>
      <c r="K629" s="4" t="str">
        <f>TRIM(CLEAN(Table1[[#This Row],[Region]]))</f>
        <v>South</v>
      </c>
    </row>
    <row r="630" spans="1:11" x14ac:dyDescent="0.3">
      <c r="A630" s="2">
        <v>637</v>
      </c>
      <c r="B630" t="s">
        <v>14</v>
      </c>
      <c r="C630" t="s">
        <v>20</v>
      </c>
      <c r="D630" s="4">
        <v>58.846067900000001</v>
      </c>
      <c r="E630" s="4">
        <v>470.5220716</v>
      </c>
      <c r="F630" s="4">
        <v>537.56156869999995</v>
      </c>
      <c r="G630" s="4">
        <v>268.20409690000002</v>
      </c>
      <c r="H630" s="4">
        <v>34.201784119999999</v>
      </c>
      <c r="I630" t="s">
        <v>18</v>
      </c>
      <c r="J630" s="1">
        <v>45563</v>
      </c>
      <c r="K630" s="4" t="str">
        <f>TRIM(CLEAN(Table1[[#This Row],[Region]]))</f>
        <v>North</v>
      </c>
    </row>
    <row r="631" spans="1:11" x14ac:dyDescent="0.3">
      <c r="A631" s="2">
        <v>638</v>
      </c>
      <c r="B631" t="s">
        <v>13</v>
      </c>
      <c r="C631" t="s">
        <v>20</v>
      </c>
      <c r="D631" s="4">
        <v>40.808198609999998</v>
      </c>
      <c r="E631" s="4">
        <v>634.61782640000001</v>
      </c>
      <c r="F631" s="4">
        <v>503.87396360000002</v>
      </c>
      <c r="G631" s="4">
        <v>131.0598348</v>
      </c>
      <c r="H631" s="4">
        <v>40.180780929999997</v>
      </c>
      <c r="I631" t="s">
        <v>18</v>
      </c>
      <c r="J631" s="1">
        <v>45564</v>
      </c>
      <c r="K631" s="4" t="str">
        <f>TRIM(CLEAN(Table1[[#This Row],[Region]]))</f>
        <v>East</v>
      </c>
    </row>
    <row r="632" spans="1:11" x14ac:dyDescent="0.3">
      <c r="A632" s="2">
        <v>639</v>
      </c>
      <c r="B632" t="s">
        <v>12</v>
      </c>
      <c r="C632" t="s">
        <v>20</v>
      </c>
      <c r="D632" s="4">
        <v>38.896004830000003</v>
      </c>
      <c r="E632" s="4">
        <v>392.2128189</v>
      </c>
      <c r="F632" s="4">
        <v>557.93968380000001</v>
      </c>
      <c r="G632" s="4">
        <v>190.15046760000001</v>
      </c>
      <c r="H632" s="4">
        <v>25.802303810000002</v>
      </c>
      <c r="I632" t="s">
        <v>16</v>
      </c>
      <c r="J632" s="1">
        <v>45565</v>
      </c>
      <c r="K632" s="4" t="str">
        <f>TRIM(CLEAN(Table1[[#This Row],[Region]]))</f>
        <v>South</v>
      </c>
    </row>
    <row r="633" spans="1:11" x14ac:dyDescent="0.3">
      <c r="A633" s="2">
        <v>640</v>
      </c>
      <c r="B633" t="s">
        <v>13</v>
      </c>
      <c r="C633" t="s">
        <v>11</v>
      </c>
      <c r="D633" s="4">
        <v>55.67055517</v>
      </c>
      <c r="E633" s="4">
        <v>431.1282334</v>
      </c>
      <c r="F633" s="4">
        <v>436.32967280000003</v>
      </c>
      <c r="G633" s="4">
        <v>169.46090269999999</v>
      </c>
      <c r="H633" s="4">
        <v>36.084844310000001</v>
      </c>
      <c r="I633" t="s">
        <v>16</v>
      </c>
      <c r="J633" s="1">
        <v>45566</v>
      </c>
      <c r="K633" s="4" t="str">
        <f>TRIM(CLEAN(Table1[[#This Row],[Region]]))</f>
        <v>East</v>
      </c>
    </row>
    <row r="634" spans="1:11" x14ac:dyDescent="0.3">
      <c r="A634" s="2">
        <v>641</v>
      </c>
      <c r="B634" t="s">
        <v>20</v>
      </c>
      <c r="C634" t="s">
        <v>17</v>
      </c>
      <c r="D634" s="4">
        <v>36.668426889999999</v>
      </c>
      <c r="E634" s="4">
        <v>374.57011369999998</v>
      </c>
      <c r="F634" s="4">
        <v>446.80369569999999</v>
      </c>
      <c r="G634" s="4">
        <v>207.14255059999999</v>
      </c>
      <c r="H634" s="4">
        <v>28.09060328</v>
      </c>
      <c r="I634" t="s">
        <v>16</v>
      </c>
      <c r="J634" s="1">
        <v>45567</v>
      </c>
      <c r="K634" s="4" t="str">
        <f>TRIM(CLEAN(Table1[[#This Row],[Region]]))</f>
        <v>Unknown</v>
      </c>
    </row>
    <row r="635" spans="1:11" x14ac:dyDescent="0.3">
      <c r="A635" s="2">
        <v>642</v>
      </c>
      <c r="B635" t="s">
        <v>14</v>
      </c>
      <c r="C635" t="s">
        <v>15</v>
      </c>
      <c r="D635" s="4">
        <v>74.147909990000002</v>
      </c>
      <c r="E635" s="4">
        <v>352.90912429999997</v>
      </c>
      <c r="F635" s="4">
        <v>534.10696499999995</v>
      </c>
      <c r="G635" s="4">
        <v>200.5008962</v>
      </c>
      <c r="H635" s="4">
        <v>37.528955609999997</v>
      </c>
      <c r="I635" t="s">
        <v>18</v>
      </c>
      <c r="J635" s="1">
        <v>45568</v>
      </c>
      <c r="K635" s="4" t="str">
        <f>TRIM(CLEAN(Table1[[#This Row],[Region]]))</f>
        <v>North</v>
      </c>
    </row>
    <row r="636" spans="1:11" x14ac:dyDescent="0.3">
      <c r="A636" s="2">
        <v>643</v>
      </c>
      <c r="B636" t="s">
        <v>12</v>
      </c>
      <c r="C636" t="s">
        <v>19</v>
      </c>
      <c r="D636" s="4">
        <v>50.799933809999999</v>
      </c>
      <c r="E636" s="4">
        <v>481.32280859999997</v>
      </c>
      <c r="F636" s="4">
        <v>423.13621560000001</v>
      </c>
      <c r="G636" s="4">
        <v>267.2690624</v>
      </c>
      <c r="H636" s="4">
        <v>40.942494930000002</v>
      </c>
      <c r="I636" t="s">
        <v>16</v>
      </c>
      <c r="J636" s="1">
        <v>45569</v>
      </c>
      <c r="K636" s="4" t="str">
        <f>TRIM(CLEAN(Table1[[#This Row],[Region]]))</f>
        <v>South</v>
      </c>
    </row>
    <row r="637" spans="1:11" x14ac:dyDescent="0.3">
      <c r="A637" s="2">
        <v>644</v>
      </c>
      <c r="B637" t="s">
        <v>14</v>
      </c>
      <c r="C637" t="s">
        <v>17</v>
      </c>
      <c r="D637" s="4">
        <v>53.479061160000001</v>
      </c>
      <c r="E637" s="4">
        <v>438.23908180000001</v>
      </c>
      <c r="F637" s="4">
        <v>436.10403930000001</v>
      </c>
      <c r="G637" s="4">
        <v>194.5797604</v>
      </c>
      <c r="H637" s="4">
        <v>28.83147494</v>
      </c>
      <c r="I637" t="s">
        <v>18</v>
      </c>
      <c r="J637" s="1">
        <v>45570</v>
      </c>
      <c r="K637" s="4" t="str">
        <f>TRIM(CLEAN(Table1[[#This Row],[Region]]))</f>
        <v>North</v>
      </c>
    </row>
    <row r="638" spans="1:11" x14ac:dyDescent="0.3">
      <c r="A638" s="2">
        <v>645</v>
      </c>
      <c r="B638" t="s">
        <v>12</v>
      </c>
      <c r="C638" t="s">
        <v>15</v>
      </c>
      <c r="D638" s="4">
        <v>41.91580175</v>
      </c>
      <c r="E638" s="4">
        <v>676.16889309999999</v>
      </c>
      <c r="F638" s="4">
        <v>480.02239980000002</v>
      </c>
      <c r="G638" s="4">
        <v>268.7392049</v>
      </c>
      <c r="H638" s="4">
        <v>22.398669600000002</v>
      </c>
      <c r="I638" t="s">
        <v>20</v>
      </c>
      <c r="J638" s="1">
        <v>45571</v>
      </c>
      <c r="K638" s="4" t="str">
        <f>TRIM(CLEAN(Table1[[#This Row],[Region]]))</f>
        <v>South</v>
      </c>
    </row>
    <row r="639" spans="1:11" x14ac:dyDescent="0.3">
      <c r="A639" s="2">
        <v>646</v>
      </c>
      <c r="B639" t="s">
        <v>12</v>
      </c>
      <c r="C639" t="s">
        <v>15</v>
      </c>
      <c r="D639" s="4">
        <v>46.84735156</v>
      </c>
      <c r="E639" s="4">
        <v>471.71534539999999</v>
      </c>
      <c r="F639" s="4">
        <v>618.07290609999995</v>
      </c>
      <c r="G639" s="4">
        <v>184.24498320000001</v>
      </c>
      <c r="H639" s="4">
        <v>34.740421939999997</v>
      </c>
      <c r="I639" t="s">
        <v>18</v>
      </c>
      <c r="J639" s="1">
        <v>45572</v>
      </c>
      <c r="K639" s="4" t="str">
        <f>TRIM(CLEAN(Table1[[#This Row],[Region]]))</f>
        <v>South</v>
      </c>
    </row>
    <row r="640" spans="1:11" x14ac:dyDescent="0.3">
      <c r="A640" s="2">
        <v>647</v>
      </c>
      <c r="B640" t="s">
        <v>12</v>
      </c>
      <c r="C640" t="s">
        <v>19</v>
      </c>
      <c r="D640" s="4">
        <v>45.732428830000003</v>
      </c>
      <c r="E640" s="4">
        <v>628.93968629999995</v>
      </c>
      <c r="F640" s="4">
        <v>344.08034959999998</v>
      </c>
      <c r="G640" s="4">
        <v>246.32409380000001</v>
      </c>
      <c r="H640" s="4">
        <v>31.122086039999999</v>
      </c>
      <c r="I640" t="s">
        <v>18</v>
      </c>
      <c r="J640" s="1">
        <v>45573</v>
      </c>
      <c r="K640" s="4" t="str">
        <f>TRIM(CLEAN(Table1[[#This Row],[Region]]))</f>
        <v>South</v>
      </c>
    </row>
    <row r="641" spans="1:11" x14ac:dyDescent="0.3">
      <c r="A641" s="2">
        <v>648</v>
      </c>
      <c r="B641" t="s">
        <v>21</v>
      </c>
      <c r="C641" t="s">
        <v>19</v>
      </c>
      <c r="D641" s="4">
        <v>44.581650119999999</v>
      </c>
      <c r="E641" s="4">
        <v>596.80064749999997</v>
      </c>
      <c r="F641" s="4">
        <v>571.10142029999997</v>
      </c>
      <c r="G641" s="4">
        <v>211.43315140000001</v>
      </c>
      <c r="H641" s="4">
        <v>32.508955839999999</v>
      </c>
      <c r="I641" t="s">
        <v>16</v>
      </c>
      <c r="J641" s="1">
        <v>45574</v>
      </c>
      <c r="K641" s="4" t="str">
        <f>TRIM(CLEAN(Table1[[#This Row],[Region]]))</f>
        <v>South</v>
      </c>
    </row>
    <row r="642" spans="1:11" x14ac:dyDescent="0.3">
      <c r="A642" s="2">
        <v>649</v>
      </c>
      <c r="B642" t="s">
        <v>12</v>
      </c>
      <c r="C642" t="s">
        <v>19</v>
      </c>
      <c r="D642" s="4">
        <v>56.329617519999999</v>
      </c>
      <c r="E642" s="4">
        <v>479.10458449999999</v>
      </c>
      <c r="F642" s="4">
        <v>575.01556949999997</v>
      </c>
      <c r="G642" s="4">
        <v>286.49426990000001</v>
      </c>
      <c r="H642" s="4">
        <v>28.300774789999998</v>
      </c>
      <c r="I642" t="s">
        <v>18</v>
      </c>
      <c r="J642" s="1">
        <v>45575</v>
      </c>
      <c r="K642" s="4" t="str">
        <f>TRIM(CLEAN(Table1[[#This Row],[Region]]))</f>
        <v>South</v>
      </c>
    </row>
    <row r="643" spans="1:11" x14ac:dyDescent="0.3">
      <c r="A643" s="2">
        <v>650</v>
      </c>
      <c r="B643" t="s">
        <v>13</v>
      </c>
      <c r="C643" t="s">
        <v>11</v>
      </c>
      <c r="D643" s="4">
        <v>45.50423962</v>
      </c>
      <c r="E643" s="4">
        <v>711.01355820000003</v>
      </c>
      <c r="F643" s="4">
        <v>574.29744110000001</v>
      </c>
      <c r="G643" s="4">
        <v>126.1492569</v>
      </c>
      <c r="H643" s="4">
        <v>25.577535910000002</v>
      </c>
      <c r="I643" t="s">
        <v>18</v>
      </c>
      <c r="J643" s="1">
        <v>45576</v>
      </c>
      <c r="K643" s="4" t="str">
        <f>TRIM(CLEAN(Table1[[#This Row],[Region]]))</f>
        <v>East</v>
      </c>
    </row>
    <row r="644" spans="1:11" x14ac:dyDescent="0.3">
      <c r="A644" s="2">
        <v>651</v>
      </c>
      <c r="B644" t="s">
        <v>14</v>
      </c>
      <c r="C644" t="s">
        <v>19</v>
      </c>
      <c r="D644" s="4">
        <v>60.175012289999998</v>
      </c>
      <c r="E644" s="4">
        <v>526.85339859999999</v>
      </c>
      <c r="F644" s="4">
        <v>383.19043440000002</v>
      </c>
      <c r="G644" s="4">
        <v>141.80711410000001</v>
      </c>
      <c r="H644" s="4">
        <v>35.801740899999999</v>
      </c>
      <c r="I644" t="s">
        <v>18</v>
      </c>
      <c r="J644" s="1">
        <v>45577</v>
      </c>
      <c r="K644" s="4" t="str">
        <f>TRIM(CLEAN(Table1[[#This Row],[Region]]))</f>
        <v>North</v>
      </c>
    </row>
    <row r="645" spans="1:11" x14ac:dyDescent="0.3">
      <c r="A645" s="2">
        <v>652</v>
      </c>
      <c r="B645" t="s">
        <v>20</v>
      </c>
      <c r="C645" t="s">
        <v>19</v>
      </c>
      <c r="D645" s="4">
        <v>76.631823499999996</v>
      </c>
      <c r="E645" s="4">
        <v>651.30092660000003</v>
      </c>
      <c r="F645" s="4">
        <v>276.8782061</v>
      </c>
      <c r="G645" s="4">
        <v>291.5811142</v>
      </c>
      <c r="H645" s="4">
        <v>31.59894997</v>
      </c>
      <c r="I645" t="s">
        <v>18</v>
      </c>
      <c r="J645" s="1">
        <v>45578</v>
      </c>
      <c r="K645" s="4" t="str">
        <f>TRIM(CLEAN(Table1[[#This Row],[Region]]))</f>
        <v>Unknown</v>
      </c>
    </row>
    <row r="646" spans="1:11" x14ac:dyDescent="0.3">
      <c r="A646" s="2">
        <v>653</v>
      </c>
      <c r="B646" t="s">
        <v>20</v>
      </c>
      <c r="C646" t="s">
        <v>17</v>
      </c>
      <c r="D646" s="4">
        <v>47.0445876</v>
      </c>
      <c r="E646" s="4">
        <v>639.6596892</v>
      </c>
      <c r="F646" s="4">
        <v>547.16405669999995</v>
      </c>
      <c r="G646" s="4">
        <v>163.33674529999999</v>
      </c>
      <c r="H646" s="4">
        <v>22.782214830000001</v>
      </c>
      <c r="I646" t="s">
        <v>18</v>
      </c>
      <c r="J646" s="1">
        <v>45579</v>
      </c>
      <c r="K646" s="4" t="str">
        <f>TRIM(CLEAN(Table1[[#This Row],[Region]]))</f>
        <v>Unknown</v>
      </c>
    </row>
    <row r="647" spans="1:11" x14ac:dyDescent="0.3">
      <c r="A647" s="2">
        <v>654</v>
      </c>
      <c r="B647" t="s">
        <v>12</v>
      </c>
      <c r="C647" t="s">
        <v>20</v>
      </c>
      <c r="D647" s="4">
        <v>51.52315514</v>
      </c>
      <c r="E647" s="4">
        <v>541.46479850000003</v>
      </c>
      <c r="F647" s="4">
        <v>502.50465409999998</v>
      </c>
      <c r="G647" s="4">
        <v>166.50983210000001</v>
      </c>
      <c r="H647" s="4">
        <v>33.434376120000003</v>
      </c>
      <c r="I647" t="s">
        <v>16</v>
      </c>
      <c r="J647" s="1">
        <v>45580</v>
      </c>
      <c r="K647" s="4" t="str">
        <f>TRIM(CLEAN(Table1[[#This Row],[Region]]))</f>
        <v>South</v>
      </c>
    </row>
    <row r="648" spans="1:11" x14ac:dyDescent="0.3">
      <c r="A648" s="2">
        <v>655</v>
      </c>
      <c r="B648" t="s">
        <v>14</v>
      </c>
      <c r="C648" t="s">
        <v>15</v>
      </c>
      <c r="D648" s="4">
        <v>53.794820569999999</v>
      </c>
      <c r="E648" s="4">
        <v>575.11308480000002</v>
      </c>
      <c r="F648" s="4">
        <v>600.52519619999998</v>
      </c>
      <c r="G648" s="4">
        <v>156.21382070000001</v>
      </c>
      <c r="H648" s="4">
        <v>32.430842990000002</v>
      </c>
      <c r="I648" t="s">
        <v>20</v>
      </c>
      <c r="J648" s="1">
        <v>45581</v>
      </c>
      <c r="K648" s="4" t="str">
        <f>TRIM(CLEAN(Table1[[#This Row],[Region]]))</f>
        <v>North</v>
      </c>
    </row>
    <row r="649" spans="1:11" x14ac:dyDescent="0.3">
      <c r="A649" s="2">
        <v>656</v>
      </c>
      <c r="B649" t="s">
        <v>12</v>
      </c>
      <c r="C649" t="s">
        <v>19</v>
      </c>
      <c r="D649" s="4">
        <v>68.115048130000005</v>
      </c>
      <c r="E649" s="4">
        <v>562.40714149999997</v>
      </c>
      <c r="F649" s="4">
        <v>395.93558059999998</v>
      </c>
      <c r="G649" s="4">
        <v>257.42229780000002</v>
      </c>
      <c r="H649" s="4">
        <v>28.373505380000001</v>
      </c>
      <c r="I649" t="s">
        <v>16</v>
      </c>
      <c r="J649" s="1">
        <v>45582</v>
      </c>
      <c r="K649" s="4" t="str">
        <f>TRIM(CLEAN(Table1[[#This Row],[Region]]))</f>
        <v>South</v>
      </c>
    </row>
    <row r="650" spans="1:11" x14ac:dyDescent="0.3">
      <c r="A650" s="2">
        <v>657</v>
      </c>
      <c r="B650" t="s">
        <v>14</v>
      </c>
      <c r="C650" t="s">
        <v>19</v>
      </c>
      <c r="D650" s="4">
        <v>245.8676107</v>
      </c>
      <c r="E650" s="4">
        <v>1542.295427</v>
      </c>
      <c r="F650" s="4">
        <v>571.21420520000004</v>
      </c>
      <c r="G650" s="4">
        <v>137.32711929999999</v>
      </c>
      <c r="H650" s="4">
        <v>38.09906617</v>
      </c>
      <c r="I650" t="s">
        <v>18</v>
      </c>
      <c r="J650" s="1">
        <v>45583</v>
      </c>
      <c r="K650" s="4" t="str">
        <f>TRIM(CLEAN(Table1[[#This Row],[Region]]))</f>
        <v>North</v>
      </c>
    </row>
    <row r="651" spans="1:11" x14ac:dyDescent="0.3">
      <c r="A651" s="2">
        <v>658</v>
      </c>
      <c r="B651" t="s">
        <v>13</v>
      </c>
      <c r="C651" t="s">
        <v>19</v>
      </c>
      <c r="D651" s="4">
        <v>41.709830799999999</v>
      </c>
      <c r="E651" s="4">
        <v>505.72903539999999</v>
      </c>
      <c r="F651" s="4">
        <v>606.52945350000005</v>
      </c>
      <c r="G651" s="4">
        <v>201.1225206</v>
      </c>
      <c r="H651" s="4">
        <v>26.90913419</v>
      </c>
      <c r="I651" t="s">
        <v>18</v>
      </c>
      <c r="J651" s="1">
        <v>45584</v>
      </c>
      <c r="K651" s="4" t="str">
        <f>TRIM(CLEAN(Table1[[#This Row],[Region]]))</f>
        <v>East</v>
      </c>
    </row>
    <row r="652" spans="1:11" x14ac:dyDescent="0.3">
      <c r="A652" s="2">
        <v>659</v>
      </c>
      <c r="B652" t="s">
        <v>14</v>
      </c>
      <c r="C652" t="s">
        <v>20</v>
      </c>
      <c r="D652" s="4">
        <v>37.336594939999998</v>
      </c>
      <c r="E652" s="4">
        <v>607.42472339999995</v>
      </c>
      <c r="F652" s="4">
        <v>468.56283350000001</v>
      </c>
      <c r="G652" s="4">
        <v>186.7189089</v>
      </c>
      <c r="H652" s="4">
        <v>29.155067509999999</v>
      </c>
      <c r="I652" t="s">
        <v>16</v>
      </c>
      <c r="J652" s="1">
        <v>45585</v>
      </c>
      <c r="K652" s="4" t="str">
        <f>TRIM(CLEAN(Table1[[#This Row],[Region]]))</f>
        <v>North</v>
      </c>
    </row>
    <row r="653" spans="1:11" x14ac:dyDescent="0.3">
      <c r="A653" s="2">
        <v>660</v>
      </c>
      <c r="B653" t="s">
        <v>10</v>
      </c>
      <c r="C653" t="s">
        <v>20</v>
      </c>
      <c r="D653" s="4">
        <v>49.420160529999997</v>
      </c>
      <c r="E653" s="4">
        <v>652.61863170000004</v>
      </c>
      <c r="F653" s="4">
        <v>530.03154040000004</v>
      </c>
      <c r="G653" s="4">
        <v>251.8257792</v>
      </c>
      <c r="H653" s="4">
        <v>33.843240440000002</v>
      </c>
      <c r="I653" t="s">
        <v>20</v>
      </c>
      <c r="J653" s="1">
        <v>45586</v>
      </c>
      <c r="K653" s="4" t="str">
        <f>TRIM(CLEAN(Table1[[#This Row],[Region]]))</f>
        <v>West</v>
      </c>
    </row>
    <row r="654" spans="1:11" x14ac:dyDescent="0.3">
      <c r="A654" s="2">
        <v>661</v>
      </c>
      <c r="B654" t="s">
        <v>14</v>
      </c>
      <c r="C654" t="s">
        <v>19</v>
      </c>
      <c r="D654" s="4">
        <v>227.58098899999999</v>
      </c>
      <c r="E654" s="4">
        <v>1711.7441309999999</v>
      </c>
      <c r="F654" s="4">
        <v>525.8359749</v>
      </c>
      <c r="G654" s="4">
        <v>171.8158669</v>
      </c>
      <c r="H654" s="4">
        <v>30.383814749999999</v>
      </c>
      <c r="I654" t="s">
        <v>18</v>
      </c>
      <c r="J654" s="1">
        <v>45587</v>
      </c>
      <c r="K654" s="4" t="str">
        <f>TRIM(CLEAN(Table1[[#This Row],[Region]]))</f>
        <v>North</v>
      </c>
    </row>
    <row r="655" spans="1:11" x14ac:dyDescent="0.3">
      <c r="A655" s="2">
        <v>662</v>
      </c>
      <c r="B655" t="s">
        <v>14</v>
      </c>
      <c r="C655" t="s">
        <v>11</v>
      </c>
      <c r="D655" s="4">
        <v>70.100092889999999</v>
      </c>
      <c r="E655" s="4">
        <v>552.88313019999998</v>
      </c>
      <c r="F655" s="4">
        <v>381.42365649999999</v>
      </c>
      <c r="G655" s="4">
        <v>220.76362900000001</v>
      </c>
      <c r="H655" s="4">
        <v>23.077884229999999</v>
      </c>
      <c r="I655" t="s">
        <v>16</v>
      </c>
      <c r="J655" s="1">
        <v>45588</v>
      </c>
      <c r="K655" s="4" t="str">
        <f>TRIM(CLEAN(Table1[[#This Row],[Region]]))</f>
        <v>North</v>
      </c>
    </row>
    <row r="656" spans="1:11" x14ac:dyDescent="0.3">
      <c r="A656" s="2">
        <v>663</v>
      </c>
      <c r="B656" t="s">
        <v>14</v>
      </c>
      <c r="C656" t="s">
        <v>19</v>
      </c>
      <c r="D656" s="4">
        <v>50.539879999999997</v>
      </c>
      <c r="E656" s="4">
        <v>2060.3480850000001</v>
      </c>
      <c r="F656" s="4">
        <v>543.73159229999999</v>
      </c>
      <c r="G656" s="4">
        <v>141.4391913</v>
      </c>
      <c r="H656" s="4">
        <v>30.91899686</v>
      </c>
      <c r="I656" t="s">
        <v>16</v>
      </c>
      <c r="J656" s="1">
        <v>45589</v>
      </c>
      <c r="K656" s="4" t="str">
        <f>TRIM(CLEAN(Table1[[#This Row],[Region]]))</f>
        <v>North</v>
      </c>
    </row>
    <row r="657" spans="1:11" x14ac:dyDescent="0.3">
      <c r="A657" s="2">
        <v>664</v>
      </c>
      <c r="B657" t="s">
        <v>14</v>
      </c>
      <c r="C657" t="s">
        <v>17</v>
      </c>
      <c r="D657" s="4">
        <v>39.656271719999999</v>
      </c>
      <c r="E657" s="4">
        <v>488.21259350000003</v>
      </c>
      <c r="F657" s="4">
        <v>674.69980090000001</v>
      </c>
      <c r="G657" s="4">
        <v>313.69705190000002</v>
      </c>
      <c r="H657" s="4">
        <v>27.92805104</v>
      </c>
      <c r="I657" t="s">
        <v>16</v>
      </c>
      <c r="J657" s="1">
        <v>45590</v>
      </c>
      <c r="K657" s="4" t="str">
        <f>TRIM(CLEAN(Table1[[#This Row],[Region]]))</f>
        <v>North</v>
      </c>
    </row>
    <row r="658" spans="1:11" x14ac:dyDescent="0.3">
      <c r="A658" s="2">
        <v>665</v>
      </c>
      <c r="B658" t="s">
        <v>10</v>
      </c>
      <c r="C658" t="s">
        <v>15</v>
      </c>
      <c r="D658" s="4">
        <v>42.892398960000001</v>
      </c>
      <c r="E658" s="4">
        <v>535.60026289999996</v>
      </c>
      <c r="F658" s="4">
        <v>482.66447210000001</v>
      </c>
      <c r="G658" s="4">
        <v>188.02038379999999</v>
      </c>
      <c r="H658" s="4">
        <v>34.284981219999999</v>
      </c>
      <c r="I658" t="s">
        <v>16</v>
      </c>
      <c r="J658" s="1">
        <v>45591</v>
      </c>
      <c r="K658" s="4" t="str">
        <f>TRIM(CLEAN(Table1[[#This Row],[Region]]))</f>
        <v>West</v>
      </c>
    </row>
    <row r="659" spans="1:11" x14ac:dyDescent="0.3">
      <c r="A659" s="2">
        <v>666</v>
      </c>
      <c r="B659" t="s">
        <v>12</v>
      </c>
      <c r="C659" t="s">
        <v>11</v>
      </c>
      <c r="D659" s="4">
        <v>50.737701080000001</v>
      </c>
      <c r="E659" s="4">
        <v>521.79974110000001</v>
      </c>
      <c r="F659" s="4">
        <v>304.68900739999998</v>
      </c>
      <c r="G659" s="4">
        <v>200.43817419999999</v>
      </c>
      <c r="H659" s="4">
        <v>30.756091720000001</v>
      </c>
      <c r="I659" t="s">
        <v>18</v>
      </c>
      <c r="J659" s="1">
        <v>45592</v>
      </c>
      <c r="K659" s="4" t="str">
        <f>TRIM(CLEAN(Table1[[#This Row],[Region]]))</f>
        <v>South</v>
      </c>
    </row>
    <row r="660" spans="1:11" x14ac:dyDescent="0.3">
      <c r="A660" s="2">
        <v>667</v>
      </c>
      <c r="B660" t="s">
        <v>14</v>
      </c>
      <c r="C660" t="s">
        <v>19</v>
      </c>
      <c r="D660" s="4">
        <v>63.97226423</v>
      </c>
      <c r="E660" s="4">
        <v>554.14075690000004</v>
      </c>
      <c r="F660" s="4">
        <v>397.53281629999998</v>
      </c>
      <c r="G660" s="4">
        <v>282.73771790000001</v>
      </c>
      <c r="H660" s="4">
        <v>30.472538270000001</v>
      </c>
      <c r="I660" t="s">
        <v>20</v>
      </c>
      <c r="J660" s="1">
        <v>45593</v>
      </c>
      <c r="K660" s="4" t="str">
        <f>TRIM(CLEAN(Table1[[#This Row],[Region]]))</f>
        <v>North</v>
      </c>
    </row>
    <row r="661" spans="1:11" x14ac:dyDescent="0.3">
      <c r="A661" s="2">
        <v>668</v>
      </c>
      <c r="B661" t="s">
        <v>14</v>
      </c>
      <c r="C661" t="s">
        <v>19</v>
      </c>
      <c r="D661" s="4">
        <v>50.570131359999998</v>
      </c>
      <c r="E661" s="4">
        <v>644.17167610000001</v>
      </c>
      <c r="F661" s="4">
        <v>266.4684661</v>
      </c>
      <c r="G661" s="4">
        <v>170.66636130000001</v>
      </c>
      <c r="H661" s="4">
        <v>24.758744180000001</v>
      </c>
      <c r="I661" t="s">
        <v>20</v>
      </c>
      <c r="J661" s="1">
        <v>45594</v>
      </c>
      <c r="K661" s="4" t="str">
        <f>TRIM(CLEAN(Table1[[#This Row],[Region]]))</f>
        <v>North</v>
      </c>
    </row>
    <row r="662" spans="1:11" x14ac:dyDescent="0.3">
      <c r="A662" s="2">
        <v>669</v>
      </c>
      <c r="B662" t="s">
        <v>13</v>
      </c>
      <c r="C662" t="s">
        <v>11</v>
      </c>
      <c r="D662" s="4">
        <v>43.527593619999998</v>
      </c>
      <c r="E662" s="4">
        <v>578.41275910000002</v>
      </c>
      <c r="F662" s="4">
        <v>634.83133550000002</v>
      </c>
      <c r="G662" s="4">
        <v>283.36911709999998</v>
      </c>
      <c r="H662" s="4">
        <v>28.849873460000001</v>
      </c>
      <c r="I662" t="s">
        <v>18</v>
      </c>
      <c r="J662" s="1">
        <v>45595</v>
      </c>
      <c r="K662" s="4" t="str">
        <f>TRIM(CLEAN(Table1[[#This Row],[Region]]))</f>
        <v>East</v>
      </c>
    </row>
    <row r="663" spans="1:11" x14ac:dyDescent="0.3">
      <c r="A663" s="2">
        <v>670</v>
      </c>
      <c r="B663" t="s">
        <v>14</v>
      </c>
      <c r="C663" t="s">
        <v>11</v>
      </c>
      <c r="D663" s="4">
        <v>49.411181900000003</v>
      </c>
      <c r="E663" s="4">
        <v>531.05912590000003</v>
      </c>
      <c r="F663" s="4">
        <v>571.69263560000002</v>
      </c>
      <c r="G663" s="4">
        <v>179.42644129999999</v>
      </c>
      <c r="H663" s="4">
        <v>34.850505470000002</v>
      </c>
      <c r="I663" t="s">
        <v>16</v>
      </c>
      <c r="J663" s="1">
        <v>45596</v>
      </c>
      <c r="K663" s="4" t="str">
        <f>TRIM(CLEAN(Table1[[#This Row],[Region]]))</f>
        <v>North</v>
      </c>
    </row>
    <row r="664" spans="1:11" x14ac:dyDescent="0.3">
      <c r="A664" s="2">
        <v>671</v>
      </c>
      <c r="B664" t="s">
        <v>13</v>
      </c>
      <c r="C664" t="s">
        <v>19</v>
      </c>
      <c r="D664" s="4">
        <v>43.71515136</v>
      </c>
      <c r="E664" s="4">
        <v>686.46250569999995</v>
      </c>
      <c r="F664" s="4">
        <v>419.83568739999998</v>
      </c>
      <c r="G664" s="4">
        <v>233.5849092</v>
      </c>
      <c r="H664" s="4">
        <v>26.117318279999999</v>
      </c>
      <c r="I664" t="s">
        <v>18</v>
      </c>
      <c r="J664" s="1">
        <v>45597</v>
      </c>
      <c r="K664" s="4" t="str">
        <f>TRIM(CLEAN(Table1[[#This Row],[Region]]))</f>
        <v>East</v>
      </c>
    </row>
    <row r="665" spans="1:11" x14ac:dyDescent="0.3">
      <c r="A665" s="2">
        <v>672</v>
      </c>
      <c r="B665" t="s">
        <v>10</v>
      </c>
      <c r="C665" t="s">
        <v>11</v>
      </c>
      <c r="D665" s="4">
        <v>56.024772089999999</v>
      </c>
      <c r="E665" s="4">
        <v>610.99295959999995</v>
      </c>
      <c r="F665" s="4">
        <v>309.83280939999997</v>
      </c>
      <c r="G665" s="4">
        <v>171.36591799999999</v>
      </c>
      <c r="H665" s="4">
        <v>29.837248880000001</v>
      </c>
      <c r="I665" t="s">
        <v>18</v>
      </c>
      <c r="J665" s="1">
        <v>45598</v>
      </c>
      <c r="K665" s="4" t="str">
        <f>TRIM(CLEAN(Table1[[#This Row],[Region]]))</f>
        <v>West</v>
      </c>
    </row>
    <row r="666" spans="1:11" x14ac:dyDescent="0.3">
      <c r="A666" s="2">
        <v>673</v>
      </c>
      <c r="B666" t="s">
        <v>12</v>
      </c>
      <c r="C666" t="s">
        <v>19</v>
      </c>
      <c r="D666" s="4">
        <v>42.909662879999999</v>
      </c>
      <c r="E666" s="4">
        <v>490.76015610000002</v>
      </c>
      <c r="F666" s="4">
        <v>480.48430000000002</v>
      </c>
      <c r="G666" s="4">
        <v>132.1981777</v>
      </c>
      <c r="H666" s="4">
        <v>25.317769739999999</v>
      </c>
      <c r="I666" t="s">
        <v>18</v>
      </c>
      <c r="J666" s="1">
        <v>45599</v>
      </c>
      <c r="K666" s="4" t="str">
        <f>TRIM(CLEAN(Table1[[#This Row],[Region]]))</f>
        <v>South</v>
      </c>
    </row>
    <row r="667" spans="1:11" x14ac:dyDescent="0.3">
      <c r="A667" s="2">
        <v>674</v>
      </c>
      <c r="B667" t="s">
        <v>14</v>
      </c>
      <c r="C667" t="s">
        <v>20</v>
      </c>
      <c r="D667" s="4">
        <v>44.89563948</v>
      </c>
      <c r="E667" s="4">
        <v>378.28795980000001</v>
      </c>
      <c r="F667" s="4">
        <v>403.40676409999998</v>
      </c>
      <c r="G667" s="4">
        <v>220.72971749999999</v>
      </c>
      <c r="H667" s="4">
        <v>24.080786790000001</v>
      </c>
      <c r="I667" t="s">
        <v>16</v>
      </c>
      <c r="J667" s="1">
        <v>45600</v>
      </c>
      <c r="K667" s="4" t="str">
        <f>TRIM(CLEAN(Table1[[#This Row],[Region]]))</f>
        <v>North</v>
      </c>
    </row>
    <row r="668" spans="1:11" x14ac:dyDescent="0.3">
      <c r="A668" s="2">
        <v>675</v>
      </c>
      <c r="B668" t="s">
        <v>20</v>
      </c>
      <c r="C668" t="s">
        <v>11</v>
      </c>
      <c r="D668" s="4">
        <v>61.619338130000003</v>
      </c>
      <c r="E668" s="4">
        <v>401.21693190000002</v>
      </c>
      <c r="F668" s="4">
        <v>493.12891189999999</v>
      </c>
      <c r="G668" s="4">
        <v>231.99517</v>
      </c>
      <c r="H668" s="4">
        <v>29.575704779999999</v>
      </c>
      <c r="I668" t="s">
        <v>16</v>
      </c>
      <c r="J668" s="1">
        <v>45601</v>
      </c>
      <c r="K668" s="4" t="str">
        <f>TRIM(CLEAN(Table1[[#This Row],[Region]]))</f>
        <v>Unknown</v>
      </c>
    </row>
    <row r="669" spans="1:11" x14ac:dyDescent="0.3">
      <c r="A669" s="2">
        <v>676</v>
      </c>
      <c r="B669" t="s">
        <v>20</v>
      </c>
      <c r="C669" t="s">
        <v>20</v>
      </c>
      <c r="D669" s="4">
        <v>216.10298449999999</v>
      </c>
      <c r="E669" s="4">
        <v>593.3232448</v>
      </c>
      <c r="F669" s="4">
        <v>489.09112119999998</v>
      </c>
      <c r="G669" s="4">
        <v>134.20571290000001</v>
      </c>
      <c r="H669" s="4">
        <v>30.869005820000002</v>
      </c>
      <c r="I669" t="s">
        <v>16</v>
      </c>
      <c r="J669" s="1">
        <v>45602</v>
      </c>
      <c r="K669" s="4" t="str">
        <f>TRIM(CLEAN(Table1[[#This Row],[Region]]))</f>
        <v>Unknown</v>
      </c>
    </row>
    <row r="670" spans="1:11" x14ac:dyDescent="0.3">
      <c r="A670" s="2">
        <v>677</v>
      </c>
      <c r="B670" t="s">
        <v>21</v>
      </c>
      <c r="C670" t="s">
        <v>19</v>
      </c>
      <c r="D670" s="4">
        <v>35.538719669999999</v>
      </c>
      <c r="E670" s="4">
        <v>436.96875210000002</v>
      </c>
      <c r="F670" s="4">
        <v>640.97183700000005</v>
      </c>
      <c r="G670" s="4">
        <v>184.6470841</v>
      </c>
      <c r="H670" s="4">
        <v>39.969314699999998</v>
      </c>
      <c r="I670" t="s">
        <v>18</v>
      </c>
      <c r="J670" s="1">
        <v>45603</v>
      </c>
      <c r="K670" s="4" t="str">
        <f>TRIM(CLEAN(Table1[[#This Row],[Region]]))</f>
        <v>South</v>
      </c>
    </row>
    <row r="671" spans="1:11" x14ac:dyDescent="0.3">
      <c r="A671" s="2">
        <v>678</v>
      </c>
      <c r="B671" t="s">
        <v>14</v>
      </c>
      <c r="C671" t="s">
        <v>19</v>
      </c>
      <c r="D671" s="4">
        <v>50.949937509999998</v>
      </c>
      <c r="E671" s="4">
        <v>399.19445230000002</v>
      </c>
      <c r="F671" s="4">
        <v>396.86941710000002</v>
      </c>
      <c r="G671" s="4">
        <v>260.03794809999999</v>
      </c>
      <c r="H671" s="4">
        <v>27.722698080000001</v>
      </c>
      <c r="I671" t="s">
        <v>16</v>
      </c>
      <c r="J671" s="1">
        <v>45604</v>
      </c>
      <c r="K671" s="4" t="str">
        <f>TRIM(CLEAN(Table1[[#This Row],[Region]]))</f>
        <v>North</v>
      </c>
    </row>
    <row r="672" spans="1:11" x14ac:dyDescent="0.3">
      <c r="A672" s="2">
        <v>679</v>
      </c>
      <c r="B672" t="s">
        <v>10</v>
      </c>
      <c r="C672" t="s">
        <v>15</v>
      </c>
      <c r="D672" s="4">
        <v>50.539879999999997</v>
      </c>
      <c r="E672" s="4">
        <v>424.1914673</v>
      </c>
      <c r="F672" s="4">
        <v>299.01745749999998</v>
      </c>
      <c r="G672" s="4">
        <v>230.00594749999999</v>
      </c>
      <c r="H672" s="4">
        <v>29.749153660000001</v>
      </c>
      <c r="I672" t="s">
        <v>18</v>
      </c>
      <c r="J672" s="1">
        <v>45605</v>
      </c>
      <c r="K672" s="4" t="str">
        <f>TRIM(CLEAN(Table1[[#This Row],[Region]]))</f>
        <v>West</v>
      </c>
    </row>
    <row r="673" spans="1:11" x14ac:dyDescent="0.3">
      <c r="A673" s="2">
        <v>680</v>
      </c>
      <c r="B673" t="s">
        <v>14</v>
      </c>
      <c r="C673" t="s">
        <v>11</v>
      </c>
      <c r="D673" s="4">
        <v>55.114155009999998</v>
      </c>
      <c r="E673" s="4">
        <v>431.26156880000002</v>
      </c>
      <c r="F673" s="4">
        <v>341.16258299999998</v>
      </c>
      <c r="G673" s="4">
        <v>180.2392499</v>
      </c>
      <c r="H673" s="4">
        <v>23.74963241</v>
      </c>
      <c r="I673" t="s">
        <v>16</v>
      </c>
      <c r="J673" s="1">
        <v>45606</v>
      </c>
      <c r="K673" s="4" t="str">
        <f>TRIM(CLEAN(Table1[[#This Row],[Region]]))</f>
        <v>North</v>
      </c>
    </row>
    <row r="674" spans="1:11" x14ac:dyDescent="0.3">
      <c r="A674" s="2">
        <v>681</v>
      </c>
      <c r="B674" t="s">
        <v>20</v>
      </c>
      <c r="C674" t="s">
        <v>15</v>
      </c>
      <c r="D674" s="4">
        <v>53.174719349999997</v>
      </c>
      <c r="E674" s="4">
        <v>585.06476680000003</v>
      </c>
      <c r="F674" s="4">
        <v>477.23701749999998</v>
      </c>
      <c r="G674" s="4">
        <v>170.12371490000001</v>
      </c>
      <c r="H674" s="4">
        <v>33.061200069999998</v>
      </c>
      <c r="I674" t="s">
        <v>16</v>
      </c>
      <c r="J674" s="1">
        <v>45607</v>
      </c>
      <c r="K674" s="4" t="str">
        <f>TRIM(CLEAN(Table1[[#This Row],[Region]]))</f>
        <v>Unknown</v>
      </c>
    </row>
    <row r="675" spans="1:11" x14ac:dyDescent="0.3">
      <c r="A675" s="2">
        <v>682</v>
      </c>
      <c r="B675" t="s">
        <v>14</v>
      </c>
      <c r="C675" t="s">
        <v>19</v>
      </c>
      <c r="D675" s="4">
        <v>49.68081505</v>
      </c>
      <c r="E675" s="4">
        <v>484.32579240000001</v>
      </c>
      <c r="F675" s="4">
        <v>392.55863199999999</v>
      </c>
      <c r="G675" s="4">
        <v>297.41221630000001</v>
      </c>
      <c r="H675" s="4">
        <v>31.990473900000001</v>
      </c>
      <c r="I675" t="s">
        <v>20</v>
      </c>
      <c r="J675" s="1">
        <v>45608</v>
      </c>
      <c r="K675" s="4" t="str">
        <f>TRIM(CLEAN(Table1[[#This Row],[Region]]))</f>
        <v>North</v>
      </c>
    </row>
    <row r="676" spans="1:11" x14ac:dyDescent="0.3">
      <c r="A676" s="2">
        <v>683</v>
      </c>
      <c r="B676" t="s">
        <v>20</v>
      </c>
      <c r="C676" t="s">
        <v>11</v>
      </c>
      <c r="D676" s="4">
        <v>49.389565750000003</v>
      </c>
      <c r="E676" s="4">
        <v>362.76254</v>
      </c>
      <c r="F676" s="4">
        <v>444.95897450000001</v>
      </c>
      <c r="G676" s="4">
        <v>127.6533965</v>
      </c>
      <c r="H676" s="4">
        <v>37.441973390000001</v>
      </c>
      <c r="I676" t="s">
        <v>18</v>
      </c>
      <c r="J676" s="1">
        <v>45609</v>
      </c>
      <c r="K676" s="4" t="str">
        <f>TRIM(CLEAN(Table1[[#This Row],[Region]]))</f>
        <v>Unknown</v>
      </c>
    </row>
    <row r="677" spans="1:11" x14ac:dyDescent="0.3">
      <c r="A677" s="2">
        <v>684</v>
      </c>
      <c r="B677" t="s">
        <v>14</v>
      </c>
      <c r="C677" t="s">
        <v>20</v>
      </c>
      <c r="D677" s="4">
        <v>42.641415510000002</v>
      </c>
      <c r="E677" s="4">
        <v>503.10448980000001</v>
      </c>
      <c r="F677" s="4">
        <v>425.51597040000001</v>
      </c>
      <c r="G677" s="4">
        <v>197.04007129999999</v>
      </c>
      <c r="H677" s="4">
        <v>35.558110759999998</v>
      </c>
      <c r="I677" t="s">
        <v>16</v>
      </c>
      <c r="J677" s="1">
        <v>45610</v>
      </c>
      <c r="K677" s="4" t="str">
        <f>TRIM(CLEAN(Table1[[#This Row],[Region]]))</f>
        <v>North</v>
      </c>
    </row>
    <row r="678" spans="1:11" x14ac:dyDescent="0.3">
      <c r="A678" s="2">
        <v>685</v>
      </c>
      <c r="B678" t="s">
        <v>13</v>
      </c>
      <c r="C678" t="s">
        <v>17</v>
      </c>
      <c r="D678" s="4">
        <v>50.539879999999997</v>
      </c>
      <c r="E678" s="4">
        <v>522.22661319999997</v>
      </c>
      <c r="F678" s="4">
        <v>598.82861439999999</v>
      </c>
      <c r="G678" s="4">
        <v>126.7651563</v>
      </c>
      <c r="H678" s="4">
        <v>31.75703334</v>
      </c>
      <c r="I678" t="s">
        <v>16</v>
      </c>
      <c r="J678" s="1">
        <v>45611</v>
      </c>
      <c r="K678" s="4" t="str">
        <f>TRIM(CLEAN(Table1[[#This Row],[Region]]))</f>
        <v>East</v>
      </c>
    </row>
    <row r="679" spans="1:11" x14ac:dyDescent="0.3">
      <c r="A679" s="2">
        <v>686</v>
      </c>
      <c r="B679" t="s">
        <v>14</v>
      </c>
      <c r="C679" t="s">
        <v>15</v>
      </c>
      <c r="D679" s="4">
        <v>58.812847810000001</v>
      </c>
      <c r="E679" s="4">
        <v>452.06631390000001</v>
      </c>
      <c r="F679" s="4">
        <v>409.56411750000001</v>
      </c>
      <c r="G679" s="4">
        <v>265.74073220000002</v>
      </c>
      <c r="H679" s="4">
        <v>29.664100000000001</v>
      </c>
      <c r="I679" t="s">
        <v>16</v>
      </c>
      <c r="J679" s="1">
        <v>45612</v>
      </c>
      <c r="K679" s="4" t="str">
        <f>TRIM(CLEAN(Table1[[#This Row],[Region]]))</f>
        <v>North</v>
      </c>
    </row>
    <row r="680" spans="1:11" x14ac:dyDescent="0.3">
      <c r="A680" s="2">
        <v>687</v>
      </c>
      <c r="B680" t="s">
        <v>21</v>
      </c>
      <c r="C680" t="s">
        <v>11</v>
      </c>
      <c r="D680" s="4">
        <v>40.265532589999999</v>
      </c>
      <c r="E680" s="4">
        <v>615.58850840000002</v>
      </c>
      <c r="F680" s="4">
        <v>434.71895080000002</v>
      </c>
      <c r="G680" s="4">
        <v>199.64381940000001</v>
      </c>
      <c r="H680" s="4">
        <v>31.023342190000001</v>
      </c>
      <c r="I680" t="s">
        <v>16</v>
      </c>
      <c r="J680" s="1">
        <v>45613</v>
      </c>
      <c r="K680" s="4" t="str">
        <f>TRIM(CLEAN(Table1[[#This Row],[Region]]))</f>
        <v>South</v>
      </c>
    </row>
    <row r="681" spans="1:11" x14ac:dyDescent="0.3">
      <c r="A681" s="2">
        <v>688</v>
      </c>
      <c r="B681" t="s">
        <v>14</v>
      </c>
      <c r="C681" t="s">
        <v>15</v>
      </c>
      <c r="D681" s="4">
        <v>49.946026240000002</v>
      </c>
      <c r="E681" s="4">
        <v>457.90611139999999</v>
      </c>
      <c r="F681" s="4">
        <v>566.07402969999998</v>
      </c>
      <c r="G681" s="4">
        <v>208.90870419999999</v>
      </c>
      <c r="H681" s="4">
        <v>29.444932690000002</v>
      </c>
      <c r="I681" t="s">
        <v>16</v>
      </c>
      <c r="J681" s="1">
        <v>45614</v>
      </c>
      <c r="K681" s="4" t="str">
        <f>TRIM(CLEAN(Table1[[#This Row],[Region]]))</f>
        <v>North</v>
      </c>
    </row>
    <row r="682" spans="1:11" x14ac:dyDescent="0.3">
      <c r="A682" s="2">
        <v>689</v>
      </c>
      <c r="B682" t="s">
        <v>14</v>
      </c>
      <c r="C682" t="s">
        <v>11</v>
      </c>
      <c r="D682" s="4">
        <v>60.383887559999998</v>
      </c>
      <c r="E682" s="4">
        <v>610.83376869999995</v>
      </c>
      <c r="F682" s="4">
        <v>412.20217070000001</v>
      </c>
      <c r="G682" s="4">
        <v>338.4446155</v>
      </c>
      <c r="H682" s="4">
        <v>34.766987669999999</v>
      </c>
      <c r="I682" t="s">
        <v>20</v>
      </c>
      <c r="J682" s="1">
        <v>45615</v>
      </c>
      <c r="K682" s="4" t="str">
        <f>TRIM(CLEAN(Table1[[#This Row],[Region]]))</f>
        <v>North</v>
      </c>
    </row>
    <row r="683" spans="1:11" x14ac:dyDescent="0.3">
      <c r="A683" s="2">
        <v>690</v>
      </c>
      <c r="B683" t="s">
        <v>21</v>
      </c>
      <c r="C683" t="s">
        <v>19</v>
      </c>
      <c r="D683" s="4">
        <v>55.054240929999999</v>
      </c>
      <c r="E683" s="4">
        <v>559.67827799999998</v>
      </c>
      <c r="F683" s="4">
        <v>530.78548490000003</v>
      </c>
      <c r="G683" s="4">
        <v>170.3263662</v>
      </c>
      <c r="H683" s="4">
        <v>34.131157450000003</v>
      </c>
      <c r="I683" t="s">
        <v>18</v>
      </c>
      <c r="J683" s="1">
        <v>45616</v>
      </c>
      <c r="K683" s="4" t="str">
        <f>TRIM(CLEAN(Table1[[#This Row],[Region]]))</f>
        <v>South</v>
      </c>
    </row>
    <row r="684" spans="1:11" x14ac:dyDescent="0.3">
      <c r="A684" s="2">
        <v>691</v>
      </c>
      <c r="B684" t="s">
        <v>10</v>
      </c>
      <c r="C684" t="s">
        <v>20</v>
      </c>
      <c r="D684" s="4">
        <v>63.094728959999998</v>
      </c>
      <c r="E684" s="4">
        <v>592.66055080000001</v>
      </c>
      <c r="F684" s="4">
        <v>519.77823139999998</v>
      </c>
      <c r="G684" s="4">
        <v>287.42879570000002</v>
      </c>
      <c r="H684" s="4">
        <v>28.517922779999999</v>
      </c>
      <c r="I684" t="s">
        <v>18</v>
      </c>
      <c r="J684" s="1">
        <v>45617</v>
      </c>
      <c r="K684" s="4" t="str">
        <f>TRIM(CLEAN(Table1[[#This Row],[Region]]))</f>
        <v>West</v>
      </c>
    </row>
    <row r="685" spans="1:11" x14ac:dyDescent="0.3">
      <c r="A685" s="2">
        <v>692</v>
      </c>
      <c r="B685" t="s">
        <v>14</v>
      </c>
      <c r="C685" t="s">
        <v>15</v>
      </c>
      <c r="D685" s="4">
        <v>44.318576700000001</v>
      </c>
      <c r="E685" s="4">
        <v>390.1449159</v>
      </c>
      <c r="F685" s="4">
        <v>497.01190309999998</v>
      </c>
      <c r="G685" s="4">
        <v>180.46340430000001</v>
      </c>
      <c r="H685" s="4">
        <v>22.690031099999999</v>
      </c>
      <c r="I685" t="s">
        <v>18</v>
      </c>
      <c r="J685" s="1">
        <v>45618</v>
      </c>
      <c r="K685" s="4" t="str">
        <f>TRIM(CLEAN(Table1[[#This Row],[Region]]))</f>
        <v>North</v>
      </c>
    </row>
    <row r="686" spans="1:11" x14ac:dyDescent="0.3">
      <c r="A686" s="2">
        <v>693</v>
      </c>
      <c r="B686" t="s">
        <v>21</v>
      </c>
      <c r="C686" t="s">
        <v>17</v>
      </c>
      <c r="D686" s="4">
        <v>31.692315520000001</v>
      </c>
      <c r="E686" s="4">
        <v>509.83101920000001</v>
      </c>
      <c r="F686" s="4">
        <v>343.87243410000002</v>
      </c>
      <c r="G686" s="4">
        <v>188.32437709999999</v>
      </c>
      <c r="H686" s="4">
        <v>36.666936499999998</v>
      </c>
      <c r="I686" t="s">
        <v>16</v>
      </c>
      <c r="J686" s="1">
        <v>45619</v>
      </c>
      <c r="K686" s="4" t="str">
        <f>TRIM(CLEAN(Table1[[#This Row],[Region]]))</f>
        <v>South</v>
      </c>
    </row>
    <row r="687" spans="1:11" x14ac:dyDescent="0.3">
      <c r="A687" s="2">
        <v>694</v>
      </c>
      <c r="B687" t="s">
        <v>14</v>
      </c>
      <c r="C687" t="s">
        <v>17</v>
      </c>
      <c r="D687" s="4">
        <v>52.006518040000003</v>
      </c>
      <c r="E687" s="4">
        <v>494.71719949999999</v>
      </c>
      <c r="F687" s="4">
        <v>627.57290690000002</v>
      </c>
      <c r="G687" s="4">
        <v>331.90876279999998</v>
      </c>
      <c r="H687" s="4">
        <v>32.909369779999999</v>
      </c>
      <c r="I687" t="s">
        <v>18</v>
      </c>
      <c r="J687" s="1">
        <v>45620</v>
      </c>
      <c r="K687" s="4" t="str">
        <f>TRIM(CLEAN(Table1[[#This Row],[Region]]))</f>
        <v>North</v>
      </c>
    </row>
    <row r="688" spans="1:11" x14ac:dyDescent="0.3">
      <c r="A688" s="2">
        <v>695</v>
      </c>
      <c r="B688" t="s">
        <v>13</v>
      </c>
      <c r="C688" t="s">
        <v>19</v>
      </c>
      <c r="D688" s="4">
        <v>53.625708150000001</v>
      </c>
      <c r="E688" s="4">
        <v>357.79934750000001</v>
      </c>
      <c r="F688" s="4">
        <v>746.48205559999997</v>
      </c>
      <c r="G688" s="4">
        <v>191.94548109999999</v>
      </c>
      <c r="H688" s="4">
        <v>28.402549650000001</v>
      </c>
      <c r="I688" t="s">
        <v>16</v>
      </c>
      <c r="J688" s="1">
        <v>45621</v>
      </c>
      <c r="K688" s="4" t="str">
        <f>TRIM(CLEAN(Table1[[#This Row],[Region]]))</f>
        <v>East</v>
      </c>
    </row>
    <row r="689" spans="1:11" x14ac:dyDescent="0.3">
      <c r="A689" s="2">
        <v>696</v>
      </c>
      <c r="B689" t="s">
        <v>13</v>
      </c>
      <c r="C689" t="s">
        <v>11</v>
      </c>
      <c r="D689" s="4">
        <v>63.684219540000001</v>
      </c>
      <c r="E689" s="4">
        <v>610.50607300000001</v>
      </c>
      <c r="F689" s="4">
        <v>481.05937660000001</v>
      </c>
      <c r="G689" s="4">
        <v>131.28142980000001</v>
      </c>
      <c r="H689" s="4">
        <v>32.714366740000003</v>
      </c>
      <c r="I689" t="s">
        <v>16</v>
      </c>
      <c r="J689" s="1">
        <v>45622</v>
      </c>
      <c r="K689" s="4" t="str">
        <f>TRIM(CLEAN(Table1[[#This Row],[Region]]))</f>
        <v>East</v>
      </c>
    </row>
    <row r="690" spans="1:11" x14ac:dyDescent="0.3">
      <c r="A690" s="2">
        <v>697</v>
      </c>
      <c r="B690" t="s">
        <v>14</v>
      </c>
      <c r="C690" t="s">
        <v>15</v>
      </c>
      <c r="D690" s="4">
        <v>61.881457349999998</v>
      </c>
      <c r="E690" s="4">
        <v>418.2599103</v>
      </c>
      <c r="F690" s="4">
        <v>354.43741519999998</v>
      </c>
      <c r="G690" s="4">
        <v>214.09593939999999</v>
      </c>
      <c r="H690" s="4">
        <v>30.374306529999998</v>
      </c>
      <c r="I690" t="s">
        <v>18</v>
      </c>
      <c r="J690" s="1">
        <v>45623</v>
      </c>
      <c r="K690" s="4" t="str">
        <f>TRIM(CLEAN(Table1[[#This Row],[Region]]))</f>
        <v>North</v>
      </c>
    </row>
    <row r="691" spans="1:11" x14ac:dyDescent="0.3">
      <c r="A691" s="2">
        <v>698</v>
      </c>
      <c r="B691" t="s">
        <v>10</v>
      </c>
      <c r="C691" t="s">
        <v>19</v>
      </c>
      <c r="D691" s="4">
        <v>55.367436230000003</v>
      </c>
      <c r="E691" s="4">
        <v>439.04321709999999</v>
      </c>
      <c r="F691" s="4">
        <v>483.49232499999999</v>
      </c>
      <c r="G691" s="4">
        <v>191.36315870000001</v>
      </c>
      <c r="H691" s="4">
        <v>36.593089630000001</v>
      </c>
      <c r="I691" t="s">
        <v>16</v>
      </c>
      <c r="J691" s="1">
        <v>45624</v>
      </c>
      <c r="K691" s="4" t="str">
        <f>TRIM(CLEAN(Table1[[#This Row],[Region]]))</f>
        <v>West</v>
      </c>
    </row>
    <row r="692" spans="1:11" x14ac:dyDescent="0.3">
      <c r="A692" s="2">
        <v>699</v>
      </c>
      <c r="B692" t="s">
        <v>10</v>
      </c>
      <c r="C692" t="s">
        <v>15</v>
      </c>
      <c r="D692" s="4">
        <v>57.65390214</v>
      </c>
      <c r="E692" s="4">
        <v>398.66841640000001</v>
      </c>
      <c r="F692" s="4">
        <v>598.78321689999996</v>
      </c>
      <c r="G692" s="4">
        <v>218.3547921</v>
      </c>
      <c r="H692" s="4">
        <v>20.351098839999999</v>
      </c>
      <c r="I692" t="s">
        <v>18</v>
      </c>
      <c r="J692" s="1">
        <v>45625</v>
      </c>
      <c r="K692" s="4" t="str">
        <f>TRIM(CLEAN(Table1[[#This Row],[Region]]))</f>
        <v>West</v>
      </c>
    </row>
    <row r="693" spans="1:11" x14ac:dyDescent="0.3">
      <c r="A693" s="2">
        <v>700</v>
      </c>
      <c r="B693" t="s">
        <v>14</v>
      </c>
      <c r="C693" t="s">
        <v>11</v>
      </c>
      <c r="D693" s="4">
        <v>48.081785420000003</v>
      </c>
      <c r="E693" s="4">
        <v>570.11863259999996</v>
      </c>
      <c r="F693" s="4">
        <v>406.17747889999998</v>
      </c>
      <c r="G693" s="4">
        <v>193.32011030000001</v>
      </c>
      <c r="H693" s="4">
        <v>28.014045169999999</v>
      </c>
      <c r="I693" t="s">
        <v>18</v>
      </c>
      <c r="J693" s="1">
        <v>45626</v>
      </c>
      <c r="K693" s="4" t="str">
        <f>TRIM(CLEAN(Table1[[#This Row],[Region]]))</f>
        <v>North</v>
      </c>
    </row>
    <row r="694" spans="1:11" x14ac:dyDescent="0.3">
      <c r="A694" s="2">
        <v>701</v>
      </c>
      <c r="B694" t="s">
        <v>14</v>
      </c>
      <c r="C694" t="s">
        <v>17</v>
      </c>
      <c r="D694" s="4">
        <v>37.808853890000002</v>
      </c>
      <c r="E694" s="4">
        <v>347.40702809999999</v>
      </c>
      <c r="F694" s="4">
        <v>464.5320979</v>
      </c>
      <c r="G694" s="4">
        <v>310.77723079999998</v>
      </c>
      <c r="H694" s="4">
        <v>37.995272579999998</v>
      </c>
      <c r="I694" t="s">
        <v>16</v>
      </c>
      <c r="J694" s="1">
        <v>45627</v>
      </c>
      <c r="K694" s="4" t="str">
        <f>TRIM(CLEAN(Table1[[#This Row],[Region]]))</f>
        <v>North</v>
      </c>
    </row>
    <row r="695" spans="1:11" x14ac:dyDescent="0.3">
      <c r="A695" s="2">
        <v>702</v>
      </c>
      <c r="B695" t="s">
        <v>13</v>
      </c>
      <c r="C695" t="s">
        <v>19</v>
      </c>
      <c r="D695" s="4">
        <v>51.177212169999997</v>
      </c>
      <c r="E695" s="4">
        <v>561.78747999999996</v>
      </c>
      <c r="F695" s="4">
        <v>520.87849640000002</v>
      </c>
      <c r="G695" s="4">
        <v>227.83679190000001</v>
      </c>
      <c r="H695" s="4">
        <v>32.815992020000003</v>
      </c>
      <c r="I695" t="s">
        <v>16</v>
      </c>
      <c r="J695" s="1">
        <v>45628</v>
      </c>
      <c r="K695" s="4" t="str">
        <f>TRIM(CLEAN(Table1[[#This Row],[Region]]))</f>
        <v>East</v>
      </c>
    </row>
    <row r="696" spans="1:11" x14ac:dyDescent="0.3">
      <c r="A696" s="2">
        <v>703</v>
      </c>
      <c r="B696" t="s">
        <v>10</v>
      </c>
      <c r="C696" t="s">
        <v>17</v>
      </c>
      <c r="D696" s="4">
        <v>59.82573464</v>
      </c>
      <c r="E696" s="4">
        <v>604.45139859999995</v>
      </c>
      <c r="F696" s="4">
        <v>624.36574229999997</v>
      </c>
      <c r="G696" s="4">
        <v>146.25176859999999</v>
      </c>
      <c r="H696" s="4">
        <v>38.863033340000001</v>
      </c>
      <c r="I696" t="s">
        <v>20</v>
      </c>
      <c r="J696" s="1">
        <v>45629</v>
      </c>
      <c r="K696" s="4" t="str">
        <f>TRIM(CLEAN(Table1[[#This Row],[Region]]))</f>
        <v>West</v>
      </c>
    </row>
    <row r="697" spans="1:11" x14ac:dyDescent="0.3">
      <c r="A697" s="2">
        <v>704</v>
      </c>
      <c r="B697" t="s">
        <v>14</v>
      </c>
      <c r="C697" t="s">
        <v>19</v>
      </c>
      <c r="D697" s="4">
        <v>56.563608700000003</v>
      </c>
      <c r="E697" s="4">
        <v>553.71784279999997</v>
      </c>
      <c r="F697" s="4">
        <v>573.05084799999997</v>
      </c>
      <c r="G697" s="4">
        <v>206.22734009999999</v>
      </c>
      <c r="H697" s="4">
        <v>23.890964530000002</v>
      </c>
      <c r="I697" t="s">
        <v>16</v>
      </c>
      <c r="J697" s="1">
        <v>45630</v>
      </c>
      <c r="K697" s="4" t="str">
        <f>TRIM(CLEAN(Table1[[#This Row],[Region]]))</f>
        <v>North</v>
      </c>
    </row>
    <row r="698" spans="1:11" x14ac:dyDescent="0.3">
      <c r="A698" s="2">
        <v>705</v>
      </c>
      <c r="B698" t="s">
        <v>20</v>
      </c>
      <c r="C698" t="s">
        <v>20</v>
      </c>
      <c r="D698" s="4">
        <v>58.338073389999998</v>
      </c>
      <c r="E698" s="4">
        <v>571.26284840000005</v>
      </c>
      <c r="F698" s="4">
        <v>578.02415629999996</v>
      </c>
      <c r="G698" s="4">
        <v>160.01850880000001</v>
      </c>
      <c r="H698" s="4">
        <v>35.360983580000003</v>
      </c>
      <c r="I698" t="s">
        <v>20</v>
      </c>
      <c r="J698" s="1">
        <v>45631</v>
      </c>
      <c r="K698" s="4" t="str">
        <f>TRIM(CLEAN(Table1[[#This Row],[Region]]))</f>
        <v>Unknown</v>
      </c>
    </row>
    <row r="699" spans="1:11" x14ac:dyDescent="0.3">
      <c r="A699" s="2">
        <v>706</v>
      </c>
      <c r="B699" t="s">
        <v>10</v>
      </c>
      <c r="C699" t="s">
        <v>19</v>
      </c>
      <c r="D699" s="4">
        <v>45.722443130000002</v>
      </c>
      <c r="E699" s="4">
        <v>575.95464700000002</v>
      </c>
      <c r="F699" s="4">
        <v>428.84777320000001</v>
      </c>
      <c r="G699" s="4">
        <v>187.6143079</v>
      </c>
      <c r="H699" s="4">
        <v>35.06112212</v>
      </c>
      <c r="I699" t="s">
        <v>16</v>
      </c>
      <c r="J699" s="1">
        <v>45632</v>
      </c>
      <c r="K699" s="4" t="str">
        <f>TRIM(CLEAN(Table1[[#This Row],[Region]]))</f>
        <v>West</v>
      </c>
    </row>
    <row r="700" spans="1:11" x14ac:dyDescent="0.3">
      <c r="A700" s="2">
        <v>707</v>
      </c>
      <c r="B700" t="s">
        <v>21</v>
      </c>
      <c r="C700" t="s">
        <v>19</v>
      </c>
      <c r="D700" s="4">
        <v>47.344531619999998</v>
      </c>
      <c r="E700" s="4">
        <v>405.05756730000002</v>
      </c>
      <c r="F700" s="4">
        <v>528.23027460000003</v>
      </c>
      <c r="G700" s="4">
        <v>154.47796450000001</v>
      </c>
      <c r="H700" s="4">
        <v>21.59135732</v>
      </c>
      <c r="I700" t="s">
        <v>18</v>
      </c>
      <c r="J700" s="1">
        <v>45633</v>
      </c>
      <c r="K700" s="4" t="str">
        <f>TRIM(CLEAN(Table1[[#This Row],[Region]]))</f>
        <v>South</v>
      </c>
    </row>
    <row r="701" spans="1:11" x14ac:dyDescent="0.3">
      <c r="A701" s="2">
        <v>708</v>
      </c>
      <c r="B701" t="s">
        <v>20</v>
      </c>
      <c r="C701" t="s">
        <v>11</v>
      </c>
      <c r="D701" s="4">
        <v>54.834254880000003</v>
      </c>
      <c r="E701" s="4">
        <v>643.47349799999995</v>
      </c>
      <c r="F701" s="4">
        <v>393.36440069999998</v>
      </c>
      <c r="G701" s="4">
        <v>305.3559262</v>
      </c>
      <c r="H701" s="4">
        <v>28.522488549999998</v>
      </c>
      <c r="I701" t="s">
        <v>20</v>
      </c>
      <c r="J701" s="1">
        <v>45634</v>
      </c>
      <c r="K701" s="4" t="str">
        <f>TRIM(CLEAN(Table1[[#This Row],[Region]]))</f>
        <v>Unknown</v>
      </c>
    </row>
    <row r="702" spans="1:11" x14ac:dyDescent="0.3">
      <c r="A702" s="2">
        <v>709</v>
      </c>
      <c r="B702" t="s">
        <v>10</v>
      </c>
      <c r="C702" t="s">
        <v>19</v>
      </c>
      <c r="D702" s="4">
        <v>44.534926050000003</v>
      </c>
      <c r="E702" s="4">
        <v>453.99237460000001</v>
      </c>
      <c r="F702" s="4">
        <v>581.46313199999997</v>
      </c>
      <c r="G702" s="4">
        <v>165.43076919999999</v>
      </c>
      <c r="H702" s="4">
        <v>29.46735447</v>
      </c>
      <c r="I702" t="s">
        <v>18</v>
      </c>
      <c r="J702" s="1">
        <v>45635</v>
      </c>
      <c r="K702" s="4" t="str">
        <f>TRIM(CLEAN(Table1[[#This Row],[Region]]))</f>
        <v>West</v>
      </c>
    </row>
    <row r="703" spans="1:11" x14ac:dyDescent="0.3">
      <c r="A703" s="2">
        <v>710</v>
      </c>
      <c r="B703" t="s">
        <v>13</v>
      </c>
      <c r="C703" t="s">
        <v>19</v>
      </c>
      <c r="D703" s="4">
        <v>44.842829299999998</v>
      </c>
      <c r="E703" s="4">
        <v>493.3612382</v>
      </c>
      <c r="F703" s="4">
        <v>618.1463569</v>
      </c>
      <c r="G703" s="4">
        <v>234.3782176</v>
      </c>
      <c r="H703" s="4">
        <v>21.902219859999999</v>
      </c>
      <c r="I703" t="s">
        <v>16</v>
      </c>
      <c r="J703" s="1">
        <v>45636</v>
      </c>
      <c r="K703" s="4" t="str">
        <f>TRIM(CLEAN(Table1[[#This Row],[Region]]))</f>
        <v>East</v>
      </c>
    </row>
    <row r="704" spans="1:11" x14ac:dyDescent="0.3">
      <c r="A704" s="2">
        <v>711</v>
      </c>
      <c r="B704" t="s">
        <v>12</v>
      </c>
      <c r="C704" t="s">
        <v>11</v>
      </c>
      <c r="D704" s="4">
        <v>52.97982236</v>
      </c>
      <c r="E704" s="4">
        <v>466.73626819999998</v>
      </c>
      <c r="F704" s="4">
        <v>546.40362830000004</v>
      </c>
      <c r="G704" s="4">
        <v>183.82602890000001</v>
      </c>
      <c r="H704" s="4">
        <v>28.626988369999999</v>
      </c>
      <c r="I704" t="s">
        <v>16</v>
      </c>
      <c r="J704" s="1">
        <v>45637</v>
      </c>
      <c r="K704" s="4" t="str">
        <f>TRIM(CLEAN(Table1[[#This Row],[Region]]))</f>
        <v>South</v>
      </c>
    </row>
    <row r="705" spans="1:11" x14ac:dyDescent="0.3">
      <c r="A705" s="2">
        <v>712</v>
      </c>
      <c r="B705" t="s">
        <v>20</v>
      </c>
      <c r="C705" t="s">
        <v>17</v>
      </c>
      <c r="D705" s="4">
        <v>57.609047429999997</v>
      </c>
      <c r="E705" s="4">
        <v>503.25760000000002</v>
      </c>
      <c r="F705" s="4">
        <v>435.91072960000002</v>
      </c>
      <c r="G705" s="4">
        <v>142.0793414</v>
      </c>
      <c r="H705" s="4">
        <v>34.365915700000002</v>
      </c>
      <c r="I705" t="s">
        <v>20</v>
      </c>
      <c r="J705" s="1">
        <v>45638</v>
      </c>
      <c r="K705" s="4" t="str">
        <f>TRIM(CLEAN(Table1[[#This Row],[Region]]))</f>
        <v>Unknown</v>
      </c>
    </row>
    <row r="706" spans="1:11" x14ac:dyDescent="0.3">
      <c r="A706" s="2">
        <v>713</v>
      </c>
      <c r="B706" t="s">
        <v>14</v>
      </c>
      <c r="C706" t="s">
        <v>20</v>
      </c>
      <c r="D706" s="4">
        <v>48.004713270000003</v>
      </c>
      <c r="E706" s="4">
        <v>446.1962757</v>
      </c>
      <c r="F706" s="4">
        <v>455.55274459999998</v>
      </c>
      <c r="G706" s="4">
        <v>209.88246509999999</v>
      </c>
      <c r="H706" s="4">
        <v>28.0453847</v>
      </c>
      <c r="I706" t="s">
        <v>16</v>
      </c>
      <c r="J706" s="1">
        <v>45639</v>
      </c>
      <c r="K706" s="4" t="str">
        <f>TRIM(CLEAN(Table1[[#This Row],[Region]]))</f>
        <v>North</v>
      </c>
    </row>
    <row r="707" spans="1:11" x14ac:dyDescent="0.3">
      <c r="A707" s="2">
        <v>714</v>
      </c>
      <c r="B707" t="s">
        <v>14</v>
      </c>
      <c r="C707" t="s">
        <v>11</v>
      </c>
      <c r="D707" s="4">
        <v>38.368105389999997</v>
      </c>
      <c r="E707" s="4">
        <v>506.69157239999998</v>
      </c>
      <c r="F707" s="4">
        <v>696.78194529999996</v>
      </c>
      <c r="G707" s="4">
        <v>220.03459190000001</v>
      </c>
      <c r="H707" s="4">
        <v>31.210665779999999</v>
      </c>
      <c r="I707" t="s">
        <v>18</v>
      </c>
      <c r="J707" s="1">
        <v>45640</v>
      </c>
      <c r="K707" s="4" t="str">
        <f>TRIM(CLEAN(Table1[[#This Row],[Region]]))</f>
        <v>North</v>
      </c>
    </row>
    <row r="708" spans="1:11" x14ac:dyDescent="0.3">
      <c r="A708" s="2">
        <v>715</v>
      </c>
      <c r="B708" t="s">
        <v>13</v>
      </c>
      <c r="C708" t="s">
        <v>15</v>
      </c>
      <c r="D708" s="4">
        <v>42.641960849999997</v>
      </c>
      <c r="E708" s="4">
        <v>376.46561830000002</v>
      </c>
      <c r="F708" s="4">
        <v>437.9147466</v>
      </c>
      <c r="G708" s="4">
        <v>227.93132660000001</v>
      </c>
      <c r="H708" s="4">
        <v>31.246851410000001</v>
      </c>
      <c r="I708" t="s">
        <v>16</v>
      </c>
      <c r="J708" s="1">
        <v>45641</v>
      </c>
      <c r="K708" s="4" t="str">
        <f>TRIM(CLEAN(Table1[[#This Row],[Region]]))</f>
        <v>East</v>
      </c>
    </row>
    <row r="709" spans="1:11" x14ac:dyDescent="0.3">
      <c r="A709" s="2">
        <v>716</v>
      </c>
      <c r="B709" t="s">
        <v>10</v>
      </c>
      <c r="C709" t="s">
        <v>11</v>
      </c>
      <c r="D709" s="4">
        <v>52.036720850000002</v>
      </c>
      <c r="E709" s="4">
        <v>616.46652089999998</v>
      </c>
      <c r="F709" s="4">
        <v>605.99930010000003</v>
      </c>
      <c r="G709" s="4">
        <v>68.889042270000004</v>
      </c>
      <c r="H709" s="4">
        <v>29.939282939999998</v>
      </c>
      <c r="I709" t="s">
        <v>18</v>
      </c>
      <c r="J709" s="1">
        <v>45642</v>
      </c>
      <c r="K709" s="4" t="str">
        <f>TRIM(CLEAN(Table1[[#This Row],[Region]]))</f>
        <v>West</v>
      </c>
    </row>
    <row r="710" spans="1:11" x14ac:dyDescent="0.3">
      <c r="A710" s="2">
        <v>717</v>
      </c>
      <c r="B710" t="s">
        <v>14</v>
      </c>
      <c r="C710" t="s">
        <v>11</v>
      </c>
      <c r="D710" s="4">
        <v>51.91520964</v>
      </c>
      <c r="E710" s="4">
        <v>567.07409459999997</v>
      </c>
      <c r="F710" s="4">
        <v>520.66699180000001</v>
      </c>
      <c r="G710" s="4">
        <v>138.2577143</v>
      </c>
      <c r="H710" s="4">
        <v>26.474089880000001</v>
      </c>
      <c r="I710" t="s">
        <v>16</v>
      </c>
      <c r="J710" s="1">
        <v>45643</v>
      </c>
      <c r="K710" s="4" t="str">
        <f>TRIM(CLEAN(Table1[[#This Row],[Region]]))</f>
        <v>North</v>
      </c>
    </row>
    <row r="711" spans="1:11" x14ac:dyDescent="0.3">
      <c r="A711" s="2">
        <v>718</v>
      </c>
      <c r="B711" t="s">
        <v>10</v>
      </c>
      <c r="C711" t="s">
        <v>20</v>
      </c>
      <c r="D711" s="4">
        <v>52.412381379999999</v>
      </c>
      <c r="E711" s="4">
        <v>470.77402380000001</v>
      </c>
      <c r="F711" s="4">
        <v>439.90362620000002</v>
      </c>
      <c r="G711" s="4">
        <v>247.877736</v>
      </c>
      <c r="H711" s="4">
        <v>33.294069870000001</v>
      </c>
      <c r="I711" t="s">
        <v>16</v>
      </c>
      <c r="J711" s="1">
        <v>45644</v>
      </c>
      <c r="K711" s="4" t="str">
        <f>TRIM(CLEAN(Table1[[#This Row],[Region]]))</f>
        <v>West</v>
      </c>
    </row>
    <row r="712" spans="1:11" x14ac:dyDescent="0.3">
      <c r="A712" s="2">
        <v>719</v>
      </c>
      <c r="B712" t="s">
        <v>13</v>
      </c>
      <c r="C712" t="s">
        <v>15</v>
      </c>
      <c r="D712" s="4">
        <v>55.212952909999998</v>
      </c>
      <c r="E712" s="4">
        <v>453.08509700000002</v>
      </c>
      <c r="F712" s="4">
        <v>318.64211669999997</v>
      </c>
      <c r="G712" s="4">
        <v>153.8196519</v>
      </c>
      <c r="H712" s="4">
        <v>22.06483119</v>
      </c>
      <c r="I712" t="s">
        <v>16</v>
      </c>
      <c r="J712" s="1">
        <v>45645</v>
      </c>
      <c r="K712" s="4" t="str">
        <f>TRIM(CLEAN(Table1[[#This Row],[Region]]))</f>
        <v>East</v>
      </c>
    </row>
    <row r="713" spans="1:11" x14ac:dyDescent="0.3">
      <c r="A713" s="2">
        <v>720</v>
      </c>
      <c r="B713" t="s">
        <v>14</v>
      </c>
      <c r="C713" t="s">
        <v>19</v>
      </c>
      <c r="D713" s="4">
        <v>50.058105589999997</v>
      </c>
      <c r="E713" s="4">
        <v>564.46282459999998</v>
      </c>
      <c r="F713" s="4">
        <v>505.39204569999998</v>
      </c>
      <c r="G713" s="4">
        <v>210.14720249999999</v>
      </c>
      <c r="H713" s="4">
        <v>30.042940689999998</v>
      </c>
      <c r="I713" t="s">
        <v>18</v>
      </c>
      <c r="J713" s="1">
        <v>45646</v>
      </c>
      <c r="K713" s="4" t="str">
        <f>TRIM(CLEAN(Table1[[#This Row],[Region]]))</f>
        <v>North</v>
      </c>
    </row>
    <row r="714" spans="1:11" x14ac:dyDescent="0.3">
      <c r="A714" s="2">
        <v>722</v>
      </c>
      <c r="B714" t="s">
        <v>14</v>
      </c>
      <c r="C714" t="s">
        <v>11</v>
      </c>
      <c r="D714" s="4">
        <v>49.549731770000001</v>
      </c>
      <c r="E714" s="4">
        <v>512.53653159999999</v>
      </c>
      <c r="F714" s="4">
        <v>696.78416059999995</v>
      </c>
      <c r="G714" s="4">
        <v>236.58005510000001</v>
      </c>
      <c r="H714" s="4">
        <v>27.763133750000001</v>
      </c>
      <c r="I714" t="s">
        <v>16</v>
      </c>
      <c r="J714" s="1">
        <v>45648</v>
      </c>
      <c r="K714" s="4" t="str">
        <f>TRIM(CLEAN(Table1[[#This Row],[Region]]))</f>
        <v>North</v>
      </c>
    </row>
    <row r="715" spans="1:11" x14ac:dyDescent="0.3">
      <c r="A715" s="2">
        <v>723</v>
      </c>
      <c r="B715" t="s">
        <v>20</v>
      </c>
      <c r="C715" t="s">
        <v>15</v>
      </c>
      <c r="D715" s="4">
        <v>61.487334830000002</v>
      </c>
      <c r="E715" s="4">
        <v>616.13987870000005</v>
      </c>
      <c r="F715" s="4">
        <v>376.77687650000001</v>
      </c>
      <c r="G715" s="4">
        <v>246.56347980000001</v>
      </c>
      <c r="H715" s="4">
        <v>26.363393890000001</v>
      </c>
      <c r="I715" t="s">
        <v>16</v>
      </c>
      <c r="J715" s="1">
        <v>45649</v>
      </c>
      <c r="K715" s="4" t="str">
        <f>TRIM(CLEAN(Table1[[#This Row],[Region]]))</f>
        <v>Unknown</v>
      </c>
    </row>
    <row r="716" spans="1:11" x14ac:dyDescent="0.3">
      <c r="A716" s="2">
        <v>724</v>
      </c>
      <c r="B716" t="s">
        <v>14</v>
      </c>
      <c r="C716" t="s">
        <v>15</v>
      </c>
      <c r="D716" s="4">
        <v>64.323420310000003</v>
      </c>
      <c r="E716" s="4">
        <v>418.8742881</v>
      </c>
      <c r="F716" s="4">
        <v>755.37223100000006</v>
      </c>
      <c r="G716" s="4">
        <v>236.59549530000001</v>
      </c>
      <c r="H716" s="4">
        <v>33.627580690000002</v>
      </c>
      <c r="I716" t="s">
        <v>16</v>
      </c>
      <c r="J716" s="1">
        <v>45650</v>
      </c>
      <c r="K716" s="4" t="str">
        <f>TRIM(CLEAN(Table1[[#This Row],[Region]]))</f>
        <v>North</v>
      </c>
    </row>
    <row r="717" spans="1:11" x14ac:dyDescent="0.3">
      <c r="A717" s="2">
        <v>725</v>
      </c>
      <c r="B717" t="s">
        <v>20</v>
      </c>
      <c r="C717" t="s">
        <v>20</v>
      </c>
      <c r="D717" s="4">
        <v>38.109887180000001</v>
      </c>
      <c r="E717" s="4">
        <v>536.86008289999995</v>
      </c>
      <c r="F717" s="4">
        <v>525.45726349999995</v>
      </c>
      <c r="G717" s="4">
        <v>251.62784060000001</v>
      </c>
      <c r="H717" s="4">
        <v>30.817158800000001</v>
      </c>
      <c r="I717" t="s">
        <v>18</v>
      </c>
      <c r="J717" s="1">
        <v>45651</v>
      </c>
      <c r="K717" s="4" t="str">
        <f>TRIM(CLEAN(Table1[[#This Row],[Region]]))</f>
        <v>Unknown</v>
      </c>
    </row>
    <row r="718" spans="1:11" x14ac:dyDescent="0.3">
      <c r="A718" s="2">
        <v>726</v>
      </c>
      <c r="B718" t="s">
        <v>14</v>
      </c>
      <c r="C718" t="s">
        <v>17</v>
      </c>
      <c r="D718" s="4">
        <v>47.447480579999997</v>
      </c>
      <c r="E718" s="4">
        <v>531.57252670000003</v>
      </c>
      <c r="F718" s="4">
        <v>525.33950649999997</v>
      </c>
      <c r="G718" s="4">
        <v>278.19500720000002</v>
      </c>
      <c r="H718" s="4">
        <v>33.727236410000003</v>
      </c>
      <c r="I718" t="s">
        <v>18</v>
      </c>
      <c r="J718" s="1">
        <v>45652</v>
      </c>
      <c r="K718" s="4" t="str">
        <f>TRIM(CLEAN(Table1[[#This Row],[Region]]))</f>
        <v>North</v>
      </c>
    </row>
    <row r="719" spans="1:11" x14ac:dyDescent="0.3">
      <c r="A719" s="2">
        <v>727</v>
      </c>
      <c r="B719" t="s">
        <v>14</v>
      </c>
      <c r="C719" t="s">
        <v>19</v>
      </c>
      <c r="D719" s="4">
        <v>50.327244919999998</v>
      </c>
      <c r="E719" s="4">
        <v>490.26631809999998</v>
      </c>
      <c r="F719" s="4">
        <v>408.83134389999998</v>
      </c>
      <c r="G719" s="4">
        <v>141.2962934</v>
      </c>
      <c r="H719" s="4">
        <v>30.192492430000001</v>
      </c>
      <c r="I719" t="s">
        <v>16</v>
      </c>
      <c r="J719" s="1">
        <v>45653</v>
      </c>
      <c r="K719" s="4" t="str">
        <f>TRIM(CLEAN(Table1[[#This Row],[Region]]))</f>
        <v>North</v>
      </c>
    </row>
    <row r="720" spans="1:11" x14ac:dyDescent="0.3">
      <c r="A720" s="2">
        <v>728</v>
      </c>
      <c r="B720" t="s">
        <v>12</v>
      </c>
      <c r="C720" t="s">
        <v>20</v>
      </c>
      <c r="D720" s="4">
        <v>47.330852880000002</v>
      </c>
      <c r="E720" s="4">
        <v>449.62104160000001</v>
      </c>
      <c r="F720" s="4">
        <v>517.76475689999995</v>
      </c>
      <c r="G720" s="4">
        <v>160.56640340000001</v>
      </c>
      <c r="H720" s="4">
        <v>18.058537749999999</v>
      </c>
      <c r="I720" t="s">
        <v>16</v>
      </c>
      <c r="J720" s="1">
        <v>45654</v>
      </c>
      <c r="K720" s="4" t="str">
        <f>TRIM(CLEAN(Table1[[#This Row],[Region]]))</f>
        <v>South</v>
      </c>
    </row>
    <row r="721" spans="1:11" x14ac:dyDescent="0.3">
      <c r="A721" s="2">
        <v>729</v>
      </c>
      <c r="B721" t="s">
        <v>12</v>
      </c>
      <c r="C721" t="s">
        <v>19</v>
      </c>
      <c r="D721" s="4">
        <v>67.92922591</v>
      </c>
      <c r="E721" s="4">
        <v>621.47970569999995</v>
      </c>
      <c r="F721" s="4">
        <v>536.7661114</v>
      </c>
      <c r="G721" s="4">
        <v>244.87717850000001</v>
      </c>
      <c r="H721" s="4">
        <v>35.899567050000002</v>
      </c>
      <c r="I721" t="s">
        <v>16</v>
      </c>
      <c r="J721" s="1">
        <v>45655</v>
      </c>
      <c r="K721" s="4" t="str">
        <f>TRIM(CLEAN(Table1[[#This Row],[Region]]))</f>
        <v>South</v>
      </c>
    </row>
    <row r="722" spans="1:11" x14ac:dyDescent="0.3">
      <c r="A722" s="2">
        <v>730</v>
      </c>
      <c r="B722" t="s">
        <v>20</v>
      </c>
      <c r="C722" t="s">
        <v>19</v>
      </c>
      <c r="D722" s="4">
        <v>52.239552779999997</v>
      </c>
      <c r="E722" s="4">
        <v>440.24313640000003</v>
      </c>
      <c r="F722" s="4">
        <v>592.47927500000003</v>
      </c>
      <c r="G722" s="4">
        <v>256.51098860000002</v>
      </c>
      <c r="H722" s="4">
        <v>40.350131910000002</v>
      </c>
      <c r="I722" t="s">
        <v>16</v>
      </c>
      <c r="J722" s="1">
        <v>45656</v>
      </c>
      <c r="K722" s="4" t="str">
        <f>TRIM(CLEAN(Table1[[#This Row],[Region]]))</f>
        <v>Unknown</v>
      </c>
    </row>
    <row r="723" spans="1:11" x14ac:dyDescent="0.3">
      <c r="A723" s="2">
        <v>731</v>
      </c>
      <c r="B723" t="s">
        <v>21</v>
      </c>
      <c r="C723" t="s">
        <v>20</v>
      </c>
      <c r="D723" s="4">
        <v>41.946281730000003</v>
      </c>
      <c r="E723" s="4">
        <v>318.79610989999998</v>
      </c>
      <c r="F723" s="4">
        <v>362.60133509999997</v>
      </c>
      <c r="G723" s="4">
        <v>166.2828523</v>
      </c>
      <c r="H723" s="4">
        <v>36.420205029999998</v>
      </c>
      <c r="I723" t="s">
        <v>20</v>
      </c>
      <c r="J723" s="1">
        <v>45657</v>
      </c>
      <c r="K723" s="4" t="str">
        <f>TRIM(CLEAN(Table1[[#This Row],[Region]]))</f>
        <v>South</v>
      </c>
    </row>
    <row r="724" spans="1:11" x14ac:dyDescent="0.3">
      <c r="A724" s="2">
        <v>732</v>
      </c>
      <c r="B724" t="s">
        <v>20</v>
      </c>
      <c r="C724" t="s">
        <v>19</v>
      </c>
      <c r="D724" s="4">
        <v>55.964423400000001</v>
      </c>
      <c r="E724" s="4">
        <v>564.05335920000005</v>
      </c>
      <c r="F724" s="4">
        <v>648.81370270000002</v>
      </c>
      <c r="G724" s="4">
        <v>162.8056967</v>
      </c>
      <c r="H724" s="4">
        <v>12.305711369999999</v>
      </c>
      <c r="I724" t="s">
        <v>16</v>
      </c>
      <c r="J724" s="1">
        <v>45658</v>
      </c>
      <c r="K724" s="4" t="str">
        <f>TRIM(CLEAN(Table1[[#This Row],[Region]]))</f>
        <v>Unknown</v>
      </c>
    </row>
    <row r="725" spans="1:11" x14ac:dyDescent="0.3">
      <c r="A725" s="2">
        <v>733</v>
      </c>
      <c r="B725" t="s">
        <v>12</v>
      </c>
      <c r="C725" t="s">
        <v>17</v>
      </c>
      <c r="D725" s="4">
        <v>263.54872690000002</v>
      </c>
      <c r="E725" s="4">
        <v>1519.47866</v>
      </c>
      <c r="F725" s="4">
        <v>523.36986290000004</v>
      </c>
      <c r="G725" s="4">
        <v>167.38932550000001</v>
      </c>
      <c r="H725" s="4">
        <v>32.255441060000003</v>
      </c>
      <c r="I725" t="s">
        <v>16</v>
      </c>
      <c r="J725" s="1">
        <v>45659</v>
      </c>
      <c r="K725" s="4" t="str">
        <f>TRIM(CLEAN(Table1[[#This Row],[Region]]))</f>
        <v>South</v>
      </c>
    </row>
    <row r="726" spans="1:11" x14ac:dyDescent="0.3">
      <c r="A726" s="2">
        <v>734</v>
      </c>
      <c r="B726" t="s">
        <v>14</v>
      </c>
      <c r="C726" t="s">
        <v>19</v>
      </c>
      <c r="D726" s="4">
        <v>53.041929199999998</v>
      </c>
      <c r="E726" s="4">
        <v>569.18811449999998</v>
      </c>
      <c r="F726" s="4">
        <v>552.98746740000001</v>
      </c>
      <c r="G726" s="4">
        <v>119.74525180000001</v>
      </c>
      <c r="H726" s="4">
        <v>29.664100000000001</v>
      </c>
      <c r="I726" t="s">
        <v>18</v>
      </c>
      <c r="J726" s="1">
        <v>45660</v>
      </c>
      <c r="K726" s="4" t="str">
        <f>TRIM(CLEAN(Table1[[#This Row],[Region]]))</f>
        <v>North</v>
      </c>
    </row>
    <row r="727" spans="1:11" x14ac:dyDescent="0.3">
      <c r="A727" s="2">
        <v>735</v>
      </c>
      <c r="B727" t="s">
        <v>13</v>
      </c>
      <c r="C727" t="s">
        <v>17</v>
      </c>
      <c r="D727" s="4">
        <v>68.078761589999999</v>
      </c>
      <c r="E727" s="4">
        <v>633.49032480000005</v>
      </c>
      <c r="F727" s="4">
        <v>453.4869286</v>
      </c>
      <c r="G727" s="4">
        <v>136.4294409</v>
      </c>
      <c r="H727" s="4">
        <v>24.578781230000001</v>
      </c>
      <c r="I727" t="s">
        <v>16</v>
      </c>
      <c r="J727" s="1">
        <v>45661</v>
      </c>
      <c r="K727" s="4" t="str">
        <f>TRIM(CLEAN(Table1[[#This Row],[Region]]))</f>
        <v>East</v>
      </c>
    </row>
    <row r="728" spans="1:11" x14ac:dyDescent="0.3">
      <c r="A728" s="2">
        <v>736</v>
      </c>
      <c r="B728" t="s">
        <v>20</v>
      </c>
      <c r="C728" t="s">
        <v>19</v>
      </c>
      <c r="D728" s="4">
        <v>50.539879999999997</v>
      </c>
      <c r="E728" s="4">
        <v>562.97498780000001</v>
      </c>
      <c r="F728" s="4">
        <v>368.62288339999998</v>
      </c>
      <c r="G728" s="4">
        <v>137.63536769999999</v>
      </c>
      <c r="H728" s="4">
        <v>30.613660809999999</v>
      </c>
      <c r="I728" t="s">
        <v>18</v>
      </c>
      <c r="J728" s="1">
        <v>45662</v>
      </c>
      <c r="K728" s="4" t="str">
        <f>TRIM(CLEAN(Table1[[#This Row],[Region]]))</f>
        <v>Unknown</v>
      </c>
    </row>
    <row r="729" spans="1:11" x14ac:dyDescent="0.3">
      <c r="A729" s="2">
        <v>737</v>
      </c>
      <c r="B729" t="s">
        <v>14</v>
      </c>
      <c r="C729" t="s">
        <v>11</v>
      </c>
      <c r="D729" s="4">
        <v>46.963384759999997</v>
      </c>
      <c r="E729" s="4">
        <v>607.14113020000002</v>
      </c>
      <c r="F729" s="4">
        <v>488.72695529999999</v>
      </c>
      <c r="G729" s="4">
        <v>185.29507630000001</v>
      </c>
      <c r="H729" s="4">
        <v>29.255263530000001</v>
      </c>
      <c r="I729" t="s">
        <v>16</v>
      </c>
      <c r="J729" s="1">
        <v>45663</v>
      </c>
      <c r="K729" s="4" t="str">
        <f>TRIM(CLEAN(Table1[[#This Row],[Region]]))</f>
        <v>North</v>
      </c>
    </row>
    <row r="730" spans="1:11" x14ac:dyDescent="0.3">
      <c r="A730" s="2">
        <v>738</v>
      </c>
      <c r="B730" t="s">
        <v>13</v>
      </c>
      <c r="C730" t="s">
        <v>20</v>
      </c>
      <c r="D730" s="4">
        <v>30.44723574</v>
      </c>
      <c r="E730" s="4">
        <v>702.00491069999998</v>
      </c>
      <c r="F730" s="4">
        <v>502.47546599999998</v>
      </c>
      <c r="G730" s="4">
        <v>213.5418258</v>
      </c>
      <c r="H730" s="4">
        <v>32.543289020000003</v>
      </c>
      <c r="I730" t="s">
        <v>18</v>
      </c>
      <c r="J730" s="1">
        <v>45664</v>
      </c>
      <c r="K730" s="4" t="str">
        <f>TRIM(CLEAN(Table1[[#This Row],[Region]]))</f>
        <v>East</v>
      </c>
    </row>
    <row r="731" spans="1:11" x14ac:dyDescent="0.3">
      <c r="A731" s="2">
        <v>739</v>
      </c>
      <c r="B731" t="s">
        <v>13</v>
      </c>
      <c r="C731" t="s">
        <v>19</v>
      </c>
      <c r="D731" s="4">
        <v>48.346009819999999</v>
      </c>
      <c r="E731" s="4">
        <v>596.67604630000005</v>
      </c>
      <c r="F731" s="4">
        <v>313.7486078</v>
      </c>
      <c r="G731" s="4">
        <v>221.6736416</v>
      </c>
      <c r="H731" s="4">
        <v>30.282900949999998</v>
      </c>
      <c r="I731" t="s">
        <v>16</v>
      </c>
      <c r="J731" s="1">
        <v>45665</v>
      </c>
      <c r="K731" s="4" t="str">
        <f>TRIM(CLEAN(Table1[[#This Row],[Region]]))</f>
        <v>East</v>
      </c>
    </row>
    <row r="732" spans="1:11" x14ac:dyDescent="0.3">
      <c r="A732" s="2">
        <v>740</v>
      </c>
      <c r="B732" t="s">
        <v>12</v>
      </c>
      <c r="C732" t="s">
        <v>17</v>
      </c>
      <c r="D732" s="4">
        <v>63.059699170000002</v>
      </c>
      <c r="E732" s="4">
        <v>533.05733929999997</v>
      </c>
      <c r="F732" s="4">
        <v>575.19424860000004</v>
      </c>
      <c r="G732" s="4">
        <v>174.57188729999999</v>
      </c>
      <c r="H732" s="4">
        <v>24.395939469999998</v>
      </c>
      <c r="I732" t="s">
        <v>18</v>
      </c>
      <c r="J732" s="1">
        <v>45666</v>
      </c>
      <c r="K732" s="4" t="str">
        <f>TRIM(CLEAN(Table1[[#This Row],[Region]]))</f>
        <v>South</v>
      </c>
    </row>
    <row r="733" spans="1:11" x14ac:dyDescent="0.3">
      <c r="A733" s="2">
        <v>741</v>
      </c>
      <c r="B733" t="s">
        <v>20</v>
      </c>
      <c r="C733" t="s">
        <v>19</v>
      </c>
      <c r="D733" s="4">
        <v>49.0883088</v>
      </c>
      <c r="E733" s="4">
        <v>663.39481839999996</v>
      </c>
      <c r="F733" s="4">
        <v>599.58295610000005</v>
      </c>
      <c r="G733" s="4">
        <v>175.80064419999999</v>
      </c>
      <c r="H733" s="4">
        <v>27.116991120000002</v>
      </c>
      <c r="I733" t="s">
        <v>16</v>
      </c>
      <c r="J733" s="1">
        <v>45667</v>
      </c>
      <c r="K733" s="4" t="str">
        <f>TRIM(CLEAN(Table1[[#This Row],[Region]]))</f>
        <v>Unknown</v>
      </c>
    </row>
    <row r="734" spans="1:11" x14ac:dyDescent="0.3">
      <c r="A734" s="2">
        <v>742</v>
      </c>
      <c r="B734" t="s">
        <v>10</v>
      </c>
      <c r="C734" t="s">
        <v>19</v>
      </c>
      <c r="D734" s="4">
        <v>27.599501010000001</v>
      </c>
      <c r="E734" s="4">
        <v>675.4775545</v>
      </c>
      <c r="F734" s="4">
        <v>392.44024510000003</v>
      </c>
      <c r="G734" s="4">
        <v>206.18307480000001</v>
      </c>
      <c r="H734" s="4">
        <v>26.310207219999999</v>
      </c>
      <c r="I734" t="s">
        <v>18</v>
      </c>
      <c r="J734" s="1">
        <v>45668</v>
      </c>
      <c r="K734" s="4" t="str">
        <f>TRIM(CLEAN(Table1[[#This Row],[Region]]))</f>
        <v>West</v>
      </c>
    </row>
    <row r="735" spans="1:11" x14ac:dyDescent="0.3">
      <c r="A735" s="2">
        <v>743</v>
      </c>
      <c r="B735" t="s">
        <v>14</v>
      </c>
      <c r="C735" t="s">
        <v>20</v>
      </c>
      <c r="D735" s="4">
        <v>45.016376080000001</v>
      </c>
      <c r="E735" s="4">
        <v>676.87717829999997</v>
      </c>
      <c r="F735" s="4">
        <v>357.28975800000001</v>
      </c>
      <c r="G735" s="4">
        <v>125.1992721</v>
      </c>
      <c r="H735" s="4">
        <v>21.417584120000001</v>
      </c>
      <c r="I735" t="s">
        <v>18</v>
      </c>
      <c r="J735" s="1">
        <v>45669</v>
      </c>
      <c r="K735" s="4" t="str">
        <f>TRIM(CLEAN(Table1[[#This Row],[Region]]))</f>
        <v>North</v>
      </c>
    </row>
    <row r="736" spans="1:11" x14ac:dyDescent="0.3">
      <c r="A736" s="2">
        <v>744</v>
      </c>
      <c r="B736" t="s">
        <v>12</v>
      </c>
      <c r="C736" t="s">
        <v>19</v>
      </c>
      <c r="D736" s="4">
        <v>59.926885390000002</v>
      </c>
      <c r="E736" s="4">
        <v>450.78564849999998</v>
      </c>
      <c r="F736" s="4">
        <v>443.64463480000001</v>
      </c>
      <c r="G736" s="4">
        <v>247.97202659999999</v>
      </c>
      <c r="H736" s="4">
        <v>23.141776780000001</v>
      </c>
      <c r="I736" t="s">
        <v>16</v>
      </c>
      <c r="J736" s="1">
        <v>45670</v>
      </c>
      <c r="K736" s="4" t="str">
        <f>TRIM(CLEAN(Table1[[#This Row],[Region]]))</f>
        <v>South</v>
      </c>
    </row>
    <row r="737" spans="1:11" x14ac:dyDescent="0.3">
      <c r="A737" s="2">
        <v>745</v>
      </c>
      <c r="B737" t="s">
        <v>12</v>
      </c>
      <c r="C737" t="s">
        <v>15</v>
      </c>
      <c r="D737" s="4">
        <v>220.3206318</v>
      </c>
      <c r="E737" s="4">
        <v>364.59816419999999</v>
      </c>
      <c r="F737" s="4">
        <v>482.86741160000003</v>
      </c>
      <c r="G737" s="4">
        <v>264.26926400000002</v>
      </c>
      <c r="H737" s="4">
        <v>28.944656649999999</v>
      </c>
      <c r="I737" t="s">
        <v>20</v>
      </c>
      <c r="J737" s="1">
        <v>45671</v>
      </c>
      <c r="K737" s="4" t="str">
        <f>TRIM(CLEAN(Table1[[#This Row],[Region]]))</f>
        <v>South</v>
      </c>
    </row>
    <row r="738" spans="1:11" x14ac:dyDescent="0.3">
      <c r="A738" s="2">
        <v>746</v>
      </c>
      <c r="B738" t="s">
        <v>10</v>
      </c>
      <c r="C738" t="s">
        <v>19</v>
      </c>
      <c r="D738" s="4">
        <v>41.601191030000003</v>
      </c>
      <c r="E738" s="4">
        <v>444.68078170000001</v>
      </c>
      <c r="F738" s="4">
        <v>448.29947879999997</v>
      </c>
      <c r="G738" s="4">
        <v>168.72096809999999</v>
      </c>
      <c r="H738" s="4">
        <v>37.118770380000001</v>
      </c>
      <c r="I738" t="s">
        <v>20</v>
      </c>
      <c r="J738" s="1">
        <v>45672</v>
      </c>
      <c r="K738" s="4" t="str">
        <f>TRIM(CLEAN(Table1[[#This Row],[Region]]))</f>
        <v>West</v>
      </c>
    </row>
    <row r="739" spans="1:11" x14ac:dyDescent="0.3">
      <c r="A739" s="2">
        <v>747</v>
      </c>
      <c r="B739" t="s">
        <v>14</v>
      </c>
      <c r="C739" t="s">
        <v>20</v>
      </c>
      <c r="D739" s="4">
        <v>44.34715224</v>
      </c>
      <c r="E739" s="4">
        <v>570.36416159999999</v>
      </c>
      <c r="F739" s="4">
        <v>472.68986009999998</v>
      </c>
      <c r="G739" s="4">
        <v>180.078192</v>
      </c>
      <c r="H739" s="4">
        <v>27.322214599999999</v>
      </c>
      <c r="I739" t="s">
        <v>18</v>
      </c>
      <c r="J739" s="1">
        <v>45673</v>
      </c>
      <c r="K739" s="4" t="str">
        <f>TRIM(CLEAN(Table1[[#This Row],[Region]]))</f>
        <v>North</v>
      </c>
    </row>
    <row r="740" spans="1:11" x14ac:dyDescent="0.3">
      <c r="A740" s="2">
        <v>748</v>
      </c>
      <c r="B740" t="s">
        <v>14</v>
      </c>
      <c r="C740" t="s">
        <v>20</v>
      </c>
      <c r="D740" s="4">
        <v>45.892913409999998</v>
      </c>
      <c r="E740" s="4">
        <v>515.91589450000004</v>
      </c>
      <c r="F740" s="4">
        <v>506.57732370000002</v>
      </c>
      <c r="G740" s="4">
        <v>262.1656112</v>
      </c>
      <c r="H740" s="4">
        <v>26.212846129999999</v>
      </c>
      <c r="I740" t="s">
        <v>18</v>
      </c>
      <c r="J740" s="1">
        <v>45674</v>
      </c>
      <c r="K740" s="4" t="str">
        <f>TRIM(CLEAN(Table1[[#This Row],[Region]]))</f>
        <v>North</v>
      </c>
    </row>
    <row r="741" spans="1:11" x14ac:dyDescent="0.3">
      <c r="A741" s="2">
        <v>749</v>
      </c>
      <c r="B741" t="s">
        <v>21</v>
      </c>
      <c r="C741" t="s">
        <v>11</v>
      </c>
      <c r="D741" s="4">
        <v>43.37286228</v>
      </c>
      <c r="E741" s="4">
        <v>479.3519015</v>
      </c>
      <c r="F741" s="4">
        <v>315.80772739999998</v>
      </c>
      <c r="G741" s="4">
        <v>193.8474205</v>
      </c>
      <c r="H741" s="4">
        <v>24.09356597</v>
      </c>
      <c r="I741" t="s">
        <v>16</v>
      </c>
      <c r="J741" s="1">
        <v>45675</v>
      </c>
      <c r="K741" s="4" t="str">
        <f>TRIM(CLEAN(Table1[[#This Row],[Region]]))</f>
        <v>South</v>
      </c>
    </row>
    <row r="742" spans="1:11" x14ac:dyDescent="0.3">
      <c r="A742" s="2">
        <v>750</v>
      </c>
      <c r="B742" t="s">
        <v>20</v>
      </c>
      <c r="C742" t="s">
        <v>17</v>
      </c>
      <c r="D742" s="4">
        <v>135.09066809999999</v>
      </c>
      <c r="E742" s="4">
        <v>556.04813990000002</v>
      </c>
      <c r="F742" s="4">
        <v>329.60452470000001</v>
      </c>
      <c r="G742" s="4">
        <v>229.41227230000001</v>
      </c>
      <c r="H742" s="4">
        <v>30.152682469999998</v>
      </c>
      <c r="I742" t="s">
        <v>18</v>
      </c>
      <c r="J742" s="1">
        <v>45676</v>
      </c>
      <c r="K742" s="4" t="str">
        <f>TRIM(CLEAN(Table1[[#This Row],[Region]]))</f>
        <v>Unknown</v>
      </c>
    </row>
    <row r="743" spans="1:11" x14ac:dyDescent="0.3">
      <c r="A743" s="2">
        <v>751</v>
      </c>
      <c r="B743" t="s">
        <v>21</v>
      </c>
      <c r="C743" t="s">
        <v>11</v>
      </c>
      <c r="D743" s="4">
        <v>50.539879999999997</v>
      </c>
      <c r="E743" s="4">
        <v>503.25760000000002</v>
      </c>
      <c r="F743" s="4">
        <v>153.3266711</v>
      </c>
      <c r="G743" s="4">
        <v>195.3847303</v>
      </c>
      <c r="H743" s="4">
        <v>35.896296669999998</v>
      </c>
      <c r="I743" t="s">
        <v>20</v>
      </c>
      <c r="J743" s="1">
        <v>45677</v>
      </c>
      <c r="K743" s="4" t="str">
        <f>TRIM(CLEAN(Table1[[#This Row],[Region]]))</f>
        <v>South</v>
      </c>
    </row>
    <row r="744" spans="1:11" x14ac:dyDescent="0.3">
      <c r="A744" s="2">
        <v>752</v>
      </c>
      <c r="B744" t="s">
        <v>14</v>
      </c>
      <c r="C744" t="s">
        <v>20</v>
      </c>
      <c r="D744" s="4">
        <v>62.570599569999999</v>
      </c>
      <c r="E744" s="4">
        <v>514.11692989999995</v>
      </c>
      <c r="F744" s="4">
        <v>593.10542740000005</v>
      </c>
      <c r="G744" s="4">
        <v>277.81536940000001</v>
      </c>
      <c r="H744" s="4">
        <v>40.013413829999998</v>
      </c>
      <c r="I744" t="s">
        <v>18</v>
      </c>
      <c r="J744" s="1">
        <v>45678</v>
      </c>
      <c r="K744" s="4" t="str">
        <f>TRIM(CLEAN(Table1[[#This Row],[Region]]))</f>
        <v>North</v>
      </c>
    </row>
    <row r="745" spans="1:11" x14ac:dyDescent="0.3">
      <c r="A745" s="2">
        <v>753</v>
      </c>
      <c r="B745" t="s">
        <v>12</v>
      </c>
      <c r="C745" t="s">
        <v>19</v>
      </c>
      <c r="D745" s="4">
        <v>34.81551056</v>
      </c>
      <c r="E745" s="4">
        <v>611.84576449999997</v>
      </c>
      <c r="F745" s="4">
        <v>481.82724250000001</v>
      </c>
      <c r="G745" s="4">
        <v>224.50398139999999</v>
      </c>
      <c r="H745" s="4">
        <v>31.426996880000001</v>
      </c>
      <c r="I745" t="s">
        <v>16</v>
      </c>
      <c r="J745" s="1">
        <v>45679</v>
      </c>
      <c r="K745" s="4" t="str">
        <f>TRIM(CLEAN(Table1[[#This Row],[Region]]))</f>
        <v>South</v>
      </c>
    </row>
    <row r="746" spans="1:11" x14ac:dyDescent="0.3">
      <c r="A746" s="2">
        <v>754</v>
      </c>
      <c r="B746" t="s">
        <v>14</v>
      </c>
      <c r="C746" t="s">
        <v>19</v>
      </c>
      <c r="D746" s="4">
        <v>62.438529330000001</v>
      </c>
      <c r="E746" s="4">
        <v>554.93156450000004</v>
      </c>
      <c r="F746" s="4">
        <v>605.74213580000003</v>
      </c>
      <c r="G746" s="4">
        <v>227.3827886</v>
      </c>
      <c r="H746" s="4">
        <v>30.69996871</v>
      </c>
      <c r="I746" t="s">
        <v>18</v>
      </c>
      <c r="J746" s="1">
        <v>45680</v>
      </c>
      <c r="K746" s="4" t="str">
        <f>TRIM(CLEAN(Table1[[#This Row],[Region]]))</f>
        <v>North</v>
      </c>
    </row>
    <row r="747" spans="1:11" x14ac:dyDescent="0.3">
      <c r="A747" s="2">
        <v>755</v>
      </c>
      <c r="B747" t="s">
        <v>12</v>
      </c>
      <c r="C747" t="s">
        <v>19</v>
      </c>
      <c r="D747" s="4">
        <v>48.969767990000001</v>
      </c>
      <c r="E747" s="4">
        <v>569.18098220000002</v>
      </c>
      <c r="F747" s="4">
        <v>343.47144050000003</v>
      </c>
      <c r="G747" s="4">
        <v>228.3153269</v>
      </c>
      <c r="H747" s="4">
        <v>27.282634460000001</v>
      </c>
      <c r="I747" t="s">
        <v>20</v>
      </c>
      <c r="J747" s="1">
        <v>45681</v>
      </c>
      <c r="K747" s="4" t="str">
        <f>TRIM(CLEAN(Table1[[#This Row],[Region]]))</f>
        <v>South</v>
      </c>
    </row>
    <row r="748" spans="1:11" x14ac:dyDescent="0.3">
      <c r="A748" s="2">
        <v>756</v>
      </c>
      <c r="B748" t="s">
        <v>13</v>
      </c>
      <c r="C748" t="s">
        <v>19</v>
      </c>
      <c r="D748" s="4">
        <v>62.251323480000003</v>
      </c>
      <c r="E748" s="4">
        <v>659.73727899999994</v>
      </c>
      <c r="F748" s="4">
        <v>482.92888069999998</v>
      </c>
      <c r="G748" s="4">
        <v>172.24431319999999</v>
      </c>
      <c r="H748" s="4">
        <v>28.11716689</v>
      </c>
      <c r="I748" t="s">
        <v>16</v>
      </c>
      <c r="J748" s="1">
        <v>45682</v>
      </c>
      <c r="K748" s="4" t="str">
        <f>TRIM(CLEAN(Table1[[#This Row],[Region]]))</f>
        <v>East</v>
      </c>
    </row>
    <row r="749" spans="1:11" x14ac:dyDescent="0.3">
      <c r="A749" s="2">
        <v>757</v>
      </c>
      <c r="B749" t="s">
        <v>12</v>
      </c>
      <c r="C749" t="s">
        <v>20</v>
      </c>
      <c r="D749" s="4">
        <v>50.379504359999999</v>
      </c>
      <c r="E749" s="4">
        <v>503.25760000000002</v>
      </c>
      <c r="F749" s="4">
        <v>505.77918069999998</v>
      </c>
      <c r="G749" s="4">
        <v>176.83804319999999</v>
      </c>
      <c r="H749" s="4">
        <v>33.145875459999999</v>
      </c>
      <c r="I749" t="s">
        <v>18</v>
      </c>
      <c r="J749" s="1">
        <v>45683</v>
      </c>
      <c r="K749" s="4" t="str">
        <f>TRIM(CLEAN(Table1[[#This Row],[Region]]))</f>
        <v>South</v>
      </c>
    </row>
    <row r="750" spans="1:11" x14ac:dyDescent="0.3">
      <c r="A750" s="2">
        <v>758</v>
      </c>
      <c r="B750" t="s">
        <v>12</v>
      </c>
      <c r="C750" t="s">
        <v>19</v>
      </c>
      <c r="D750" s="4">
        <v>51.355445920000001</v>
      </c>
      <c r="E750" s="4">
        <v>434.69083389999997</v>
      </c>
      <c r="F750" s="4">
        <v>412.58610060000001</v>
      </c>
      <c r="G750" s="4">
        <v>238.46228199999999</v>
      </c>
      <c r="H750" s="4">
        <v>28.425623340000001</v>
      </c>
      <c r="I750" t="s">
        <v>16</v>
      </c>
      <c r="J750" s="1">
        <v>45684</v>
      </c>
      <c r="K750" s="4" t="str">
        <f>TRIM(CLEAN(Table1[[#This Row],[Region]]))</f>
        <v>South</v>
      </c>
    </row>
    <row r="751" spans="1:11" x14ac:dyDescent="0.3">
      <c r="A751" s="2">
        <v>759</v>
      </c>
      <c r="B751" t="s">
        <v>14</v>
      </c>
      <c r="C751" t="s">
        <v>19</v>
      </c>
      <c r="D751" s="4">
        <v>53.72434647</v>
      </c>
      <c r="E751" s="4">
        <v>618.95150430000001</v>
      </c>
      <c r="F751" s="4">
        <v>293.58866419999998</v>
      </c>
      <c r="G751" s="4">
        <v>206.32064149999999</v>
      </c>
      <c r="H751" s="4">
        <v>29.188587760000001</v>
      </c>
      <c r="I751" t="s">
        <v>18</v>
      </c>
      <c r="J751" s="1">
        <v>45685</v>
      </c>
      <c r="K751" s="4" t="str">
        <f>TRIM(CLEAN(Table1[[#This Row],[Region]]))</f>
        <v>North</v>
      </c>
    </row>
    <row r="752" spans="1:11" x14ac:dyDescent="0.3">
      <c r="A752" s="2">
        <v>760</v>
      </c>
      <c r="B752" t="s">
        <v>14</v>
      </c>
      <c r="C752" t="s">
        <v>19</v>
      </c>
      <c r="D752" s="4">
        <v>42.099336749999999</v>
      </c>
      <c r="E752" s="4">
        <v>617.1120631</v>
      </c>
      <c r="F752" s="4">
        <v>689.50456029999998</v>
      </c>
      <c r="G752" s="4">
        <v>141.1194496</v>
      </c>
      <c r="H752" s="4">
        <v>29.87326363</v>
      </c>
      <c r="I752" t="s">
        <v>16</v>
      </c>
      <c r="J752" s="1">
        <v>45686</v>
      </c>
      <c r="K752" s="4" t="str">
        <f>TRIM(CLEAN(Table1[[#This Row],[Region]]))</f>
        <v>North</v>
      </c>
    </row>
    <row r="753" spans="1:11" x14ac:dyDescent="0.3">
      <c r="A753" s="2">
        <v>761</v>
      </c>
      <c r="B753" t="s">
        <v>14</v>
      </c>
      <c r="C753" t="s">
        <v>17</v>
      </c>
      <c r="D753" s="4">
        <v>61.946741439999997</v>
      </c>
      <c r="E753" s="4">
        <v>555.82916750000004</v>
      </c>
      <c r="F753" s="4">
        <v>647.91400099999998</v>
      </c>
      <c r="G753" s="4">
        <v>199.07849999999999</v>
      </c>
      <c r="H753" s="4">
        <v>27.045859449999998</v>
      </c>
      <c r="I753" t="s">
        <v>16</v>
      </c>
      <c r="J753" s="1">
        <v>45687</v>
      </c>
      <c r="K753" s="4" t="str">
        <f>TRIM(CLEAN(Table1[[#This Row],[Region]]))</f>
        <v>North</v>
      </c>
    </row>
    <row r="754" spans="1:11" x14ac:dyDescent="0.3">
      <c r="A754" s="2">
        <v>762</v>
      </c>
      <c r="B754" t="s">
        <v>21</v>
      </c>
      <c r="C754" t="s">
        <v>17</v>
      </c>
      <c r="D754" s="4">
        <v>38.786193619999999</v>
      </c>
      <c r="E754" s="4">
        <v>483.96289990000002</v>
      </c>
      <c r="F754" s="4">
        <v>434.1681274</v>
      </c>
      <c r="G754" s="4">
        <v>248.90359340000001</v>
      </c>
      <c r="H754" s="4">
        <v>29.6251037</v>
      </c>
      <c r="I754" t="s">
        <v>20</v>
      </c>
      <c r="J754" s="1">
        <v>45688</v>
      </c>
      <c r="K754" s="4" t="str">
        <f>TRIM(CLEAN(Table1[[#This Row],[Region]]))</f>
        <v>South</v>
      </c>
    </row>
    <row r="755" spans="1:11" x14ac:dyDescent="0.3">
      <c r="A755" s="2">
        <v>763</v>
      </c>
      <c r="B755" t="s">
        <v>13</v>
      </c>
      <c r="C755" t="s">
        <v>15</v>
      </c>
      <c r="D755" s="4">
        <v>45.979332550000002</v>
      </c>
      <c r="E755" s="4">
        <v>500.13796509999997</v>
      </c>
      <c r="F755" s="4">
        <v>541.22731739999995</v>
      </c>
      <c r="G755" s="4">
        <v>199.07849999999999</v>
      </c>
      <c r="H755" s="4">
        <v>19.90296936</v>
      </c>
      <c r="I755" t="s">
        <v>20</v>
      </c>
      <c r="J755" s="1">
        <v>45689</v>
      </c>
      <c r="K755" s="4" t="str">
        <f>TRIM(CLEAN(Table1[[#This Row],[Region]]))</f>
        <v>East</v>
      </c>
    </row>
    <row r="756" spans="1:11" x14ac:dyDescent="0.3">
      <c r="A756" s="2">
        <v>764</v>
      </c>
      <c r="B756" t="s">
        <v>14</v>
      </c>
      <c r="C756" t="s">
        <v>11</v>
      </c>
      <c r="D756" s="4">
        <v>55.242646780000001</v>
      </c>
      <c r="E756" s="4">
        <v>372.3227048</v>
      </c>
      <c r="F756" s="4">
        <v>421.82511879999998</v>
      </c>
      <c r="G756" s="4">
        <v>186.3249509</v>
      </c>
      <c r="H756" s="4">
        <v>32.744179420000002</v>
      </c>
      <c r="I756" t="s">
        <v>16</v>
      </c>
      <c r="J756" s="1">
        <v>45690</v>
      </c>
      <c r="K756" s="4" t="str">
        <f>TRIM(CLEAN(Table1[[#This Row],[Region]]))</f>
        <v>North</v>
      </c>
    </row>
    <row r="757" spans="1:11" x14ac:dyDescent="0.3">
      <c r="A757" s="2">
        <v>765</v>
      </c>
      <c r="B757" t="s">
        <v>14</v>
      </c>
      <c r="C757" t="s">
        <v>19</v>
      </c>
      <c r="D757" s="4">
        <v>44.908047600000003</v>
      </c>
      <c r="E757" s="4">
        <v>611.29465300000004</v>
      </c>
      <c r="F757" s="4">
        <v>360.5515676</v>
      </c>
      <c r="G757" s="4">
        <v>209.93379289999999</v>
      </c>
      <c r="H757" s="4">
        <v>41.758859190000003</v>
      </c>
      <c r="I757" t="s">
        <v>20</v>
      </c>
      <c r="J757" s="1">
        <v>45691</v>
      </c>
      <c r="K757" s="4" t="str">
        <f>TRIM(CLEAN(Table1[[#This Row],[Region]]))</f>
        <v>North</v>
      </c>
    </row>
    <row r="758" spans="1:11" x14ac:dyDescent="0.3">
      <c r="A758" s="2">
        <v>766</v>
      </c>
      <c r="B758" t="s">
        <v>21</v>
      </c>
      <c r="C758" t="s">
        <v>19</v>
      </c>
      <c r="D758" s="4">
        <v>57.775312409999998</v>
      </c>
      <c r="E758" s="4">
        <v>607.765131</v>
      </c>
      <c r="F758" s="4">
        <v>699.27138060000004</v>
      </c>
      <c r="G758" s="4">
        <v>225.87600499999999</v>
      </c>
      <c r="H758" s="4">
        <v>27.239781919999999</v>
      </c>
      <c r="I758" t="s">
        <v>18</v>
      </c>
      <c r="J758" s="1">
        <v>45692</v>
      </c>
      <c r="K758" s="4" t="str">
        <f>TRIM(CLEAN(Table1[[#This Row],[Region]]))</f>
        <v>South</v>
      </c>
    </row>
    <row r="759" spans="1:11" x14ac:dyDescent="0.3">
      <c r="A759" s="2">
        <v>767</v>
      </c>
      <c r="B759" t="s">
        <v>10</v>
      </c>
      <c r="C759" t="s">
        <v>20</v>
      </c>
      <c r="D759" s="4">
        <v>63.75866173</v>
      </c>
      <c r="E759" s="4">
        <v>368.83172500000001</v>
      </c>
      <c r="F759" s="4">
        <v>281.35573419999997</v>
      </c>
      <c r="G759" s="4">
        <v>98.349963220000006</v>
      </c>
      <c r="H759" s="4">
        <v>31.869185730000002</v>
      </c>
      <c r="I759" t="s">
        <v>16</v>
      </c>
      <c r="J759" s="1">
        <v>45693</v>
      </c>
      <c r="K759" s="4" t="str">
        <f>TRIM(CLEAN(Table1[[#This Row],[Region]]))</f>
        <v>West</v>
      </c>
    </row>
    <row r="760" spans="1:11" x14ac:dyDescent="0.3">
      <c r="A760" s="2">
        <v>768</v>
      </c>
      <c r="B760" t="s">
        <v>14</v>
      </c>
      <c r="C760" t="s">
        <v>15</v>
      </c>
      <c r="D760" s="4">
        <v>60.125460009999998</v>
      </c>
      <c r="E760" s="4">
        <v>586.76320840000005</v>
      </c>
      <c r="F760" s="4">
        <v>445.73955640000003</v>
      </c>
      <c r="G760" s="4">
        <v>305.61748549999999</v>
      </c>
      <c r="H760" s="4">
        <v>34.257881599999997</v>
      </c>
      <c r="I760" t="s">
        <v>20</v>
      </c>
      <c r="J760" s="1">
        <v>45694</v>
      </c>
      <c r="K760" s="4" t="str">
        <f>TRIM(CLEAN(Table1[[#This Row],[Region]]))</f>
        <v>North</v>
      </c>
    </row>
    <row r="761" spans="1:11" x14ac:dyDescent="0.3">
      <c r="A761" s="2">
        <v>769</v>
      </c>
      <c r="B761" t="s">
        <v>20</v>
      </c>
      <c r="C761" t="s">
        <v>17</v>
      </c>
      <c r="D761" s="4">
        <v>30.638846860000001</v>
      </c>
      <c r="E761" s="4">
        <v>540.41016549999995</v>
      </c>
      <c r="F761" s="4">
        <v>490.1188593</v>
      </c>
      <c r="G761" s="4">
        <v>160.5057845</v>
      </c>
      <c r="H761" s="4">
        <v>36.401076359999998</v>
      </c>
      <c r="I761" t="s">
        <v>18</v>
      </c>
      <c r="J761" s="1">
        <v>45695</v>
      </c>
      <c r="K761" s="4" t="str">
        <f>TRIM(CLEAN(Table1[[#This Row],[Region]]))</f>
        <v>Unknown</v>
      </c>
    </row>
    <row r="762" spans="1:11" x14ac:dyDescent="0.3">
      <c r="A762" s="2">
        <v>770</v>
      </c>
      <c r="B762" t="s">
        <v>20</v>
      </c>
      <c r="C762" t="s">
        <v>20</v>
      </c>
      <c r="D762" s="4">
        <v>51.258469699999999</v>
      </c>
      <c r="E762" s="4">
        <v>397.80258900000001</v>
      </c>
      <c r="F762" s="4">
        <v>678.14838940000004</v>
      </c>
      <c r="G762" s="4">
        <v>199.90471840000001</v>
      </c>
      <c r="H762" s="4">
        <v>28.678392559999999</v>
      </c>
      <c r="I762" t="s">
        <v>20</v>
      </c>
      <c r="J762" s="1">
        <v>45696</v>
      </c>
      <c r="K762" s="4" t="str">
        <f>TRIM(CLEAN(Table1[[#This Row],[Region]]))</f>
        <v>Unknown</v>
      </c>
    </row>
    <row r="763" spans="1:11" x14ac:dyDescent="0.3">
      <c r="A763" s="2">
        <v>771</v>
      </c>
      <c r="B763" t="s">
        <v>14</v>
      </c>
      <c r="C763" t="s">
        <v>20</v>
      </c>
      <c r="D763" s="4">
        <v>60.28682611</v>
      </c>
      <c r="E763" s="4">
        <v>379.39997990000001</v>
      </c>
      <c r="F763" s="4">
        <v>587.59063849999995</v>
      </c>
      <c r="G763" s="4">
        <v>201.7433441</v>
      </c>
      <c r="H763" s="4">
        <v>20.983413729999999</v>
      </c>
      <c r="I763" t="s">
        <v>18</v>
      </c>
      <c r="J763" s="1">
        <v>45697</v>
      </c>
      <c r="K763" s="4" t="str">
        <f>TRIM(CLEAN(Table1[[#This Row],[Region]]))</f>
        <v>North</v>
      </c>
    </row>
    <row r="764" spans="1:11" x14ac:dyDescent="0.3">
      <c r="A764" s="2">
        <v>772</v>
      </c>
      <c r="B764" t="s">
        <v>14</v>
      </c>
      <c r="C764" t="s">
        <v>15</v>
      </c>
      <c r="D764" s="4">
        <v>36.832511529999998</v>
      </c>
      <c r="E764" s="4">
        <v>537.34932690000005</v>
      </c>
      <c r="F764" s="4">
        <v>279.3300271</v>
      </c>
      <c r="G764" s="4">
        <v>299.84251089999998</v>
      </c>
      <c r="H764" s="4">
        <v>31.33615975</v>
      </c>
      <c r="I764" t="s">
        <v>16</v>
      </c>
      <c r="J764" s="1">
        <v>45698</v>
      </c>
      <c r="K764" s="4" t="str">
        <f>TRIM(CLEAN(Table1[[#This Row],[Region]]))</f>
        <v>North</v>
      </c>
    </row>
    <row r="765" spans="1:11" x14ac:dyDescent="0.3">
      <c r="A765" s="2">
        <v>773</v>
      </c>
      <c r="B765" t="s">
        <v>10</v>
      </c>
      <c r="C765" t="s">
        <v>20</v>
      </c>
      <c r="D765" s="4">
        <v>57.236105870000003</v>
      </c>
      <c r="E765" s="4">
        <v>460.2295886</v>
      </c>
      <c r="F765" s="4">
        <v>479.6699711</v>
      </c>
      <c r="G765" s="4">
        <v>195.5938079</v>
      </c>
      <c r="H765" s="4">
        <v>30.64314345</v>
      </c>
      <c r="I765" t="s">
        <v>16</v>
      </c>
      <c r="J765" s="1">
        <v>45699</v>
      </c>
      <c r="K765" s="4" t="str">
        <f>TRIM(CLEAN(Table1[[#This Row],[Region]]))</f>
        <v>West</v>
      </c>
    </row>
    <row r="766" spans="1:11" x14ac:dyDescent="0.3">
      <c r="A766" s="2">
        <v>774</v>
      </c>
      <c r="B766" t="s">
        <v>10</v>
      </c>
      <c r="C766" t="s">
        <v>19</v>
      </c>
      <c r="D766" s="4">
        <v>56.674607819999999</v>
      </c>
      <c r="E766" s="4">
        <v>681.99488510000003</v>
      </c>
      <c r="F766" s="4">
        <v>482.5272238</v>
      </c>
      <c r="G766" s="4">
        <v>279.42536469999999</v>
      </c>
      <c r="H766" s="4">
        <v>28.271668129999998</v>
      </c>
      <c r="I766" t="s">
        <v>20</v>
      </c>
      <c r="J766" s="1">
        <v>45700</v>
      </c>
      <c r="K766" s="4" t="str">
        <f>TRIM(CLEAN(Table1[[#This Row],[Region]]))</f>
        <v>West</v>
      </c>
    </row>
    <row r="767" spans="1:11" x14ac:dyDescent="0.3">
      <c r="A767" s="2">
        <v>775</v>
      </c>
      <c r="B767" t="s">
        <v>21</v>
      </c>
      <c r="C767" t="s">
        <v>11</v>
      </c>
      <c r="D767" s="4">
        <v>37.879101079999998</v>
      </c>
      <c r="E767" s="4">
        <v>595.2598395</v>
      </c>
      <c r="F767" s="4">
        <v>452.59939980000001</v>
      </c>
      <c r="G767" s="4">
        <v>220.33637350000001</v>
      </c>
      <c r="H767" s="4">
        <v>29.332439390000001</v>
      </c>
      <c r="I767" t="s">
        <v>16</v>
      </c>
      <c r="J767" s="1">
        <v>45701</v>
      </c>
      <c r="K767" s="4" t="str">
        <f>TRIM(CLEAN(Table1[[#This Row],[Region]]))</f>
        <v>South</v>
      </c>
    </row>
    <row r="768" spans="1:11" x14ac:dyDescent="0.3">
      <c r="A768" s="2">
        <v>776</v>
      </c>
      <c r="B768" t="s">
        <v>10</v>
      </c>
      <c r="C768" t="s">
        <v>19</v>
      </c>
      <c r="D768" s="4">
        <v>189.77230130000001</v>
      </c>
      <c r="E768" s="4">
        <v>547.36931370000002</v>
      </c>
      <c r="F768" s="4">
        <v>554.37709289999998</v>
      </c>
      <c r="G768" s="4">
        <v>151.9057569</v>
      </c>
      <c r="H768" s="4">
        <v>30.718402229999999</v>
      </c>
      <c r="I768" t="s">
        <v>20</v>
      </c>
      <c r="J768" s="1">
        <v>45702</v>
      </c>
      <c r="K768" s="4" t="str">
        <f>TRIM(CLEAN(Table1[[#This Row],[Region]]))</f>
        <v>West</v>
      </c>
    </row>
    <row r="769" spans="1:11" x14ac:dyDescent="0.3">
      <c r="A769" s="2">
        <v>777</v>
      </c>
      <c r="B769" t="s">
        <v>20</v>
      </c>
      <c r="C769" t="s">
        <v>17</v>
      </c>
      <c r="D769" s="4">
        <v>52.726977939999998</v>
      </c>
      <c r="E769" s="4">
        <v>552.30790039999999</v>
      </c>
      <c r="F769" s="4">
        <v>310.9071687</v>
      </c>
      <c r="G769" s="4">
        <v>206.73537339999999</v>
      </c>
      <c r="H769" s="4">
        <v>31.808809960000001</v>
      </c>
      <c r="I769" t="s">
        <v>18</v>
      </c>
      <c r="J769" s="1">
        <v>45703</v>
      </c>
      <c r="K769" s="4" t="str">
        <f>TRIM(CLEAN(Table1[[#This Row],[Region]]))</f>
        <v>Unknown</v>
      </c>
    </row>
    <row r="770" spans="1:11" x14ac:dyDescent="0.3">
      <c r="A770" s="2">
        <v>778</v>
      </c>
      <c r="B770" t="s">
        <v>13</v>
      </c>
      <c r="C770" t="s">
        <v>17</v>
      </c>
      <c r="D770" s="4">
        <v>56.503817890000001</v>
      </c>
      <c r="E770" s="4">
        <v>633.08671800000002</v>
      </c>
      <c r="F770" s="4">
        <v>430.96369049999998</v>
      </c>
      <c r="G770" s="4">
        <v>194.07456389999999</v>
      </c>
      <c r="H770" s="4">
        <v>31.599048549999999</v>
      </c>
      <c r="I770" t="s">
        <v>16</v>
      </c>
      <c r="J770" s="1">
        <v>45704</v>
      </c>
      <c r="K770" s="4" t="str">
        <f>TRIM(CLEAN(Table1[[#This Row],[Region]]))</f>
        <v>East</v>
      </c>
    </row>
    <row r="771" spans="1:11" x14ac:dyDescent="0.3">
      <c r="A771" s="2">
        <v>780</v>
      </c>
      <c r="B771" t="s">
        <v>10</v>
      </c>
      <c r="C771" t="s">
        <v>17</v>
      </c>
      <c r="D771" s="4">
        <v>51.501361160000002</v>
      </c>
      <c r="E771" s="4">
        <v>549.97664380000003</v>
      </c>
      <c r="F771" s="4">
        <v>561.54908220000004</v>
      </c>
      <c r="G771" s="4">
        <v>217.88613849999999</v>
      </c>
      <c r="H771" s="4">
        <v>31.921394169999999</v>
      </c>
      <c r="I771" t="s">
        <v>20</v>
      </c>
      <c r="J771" s="1">
        <v>45706</v>
      </c>
      <c r="K771" s="4" t="str">
        <f>TRIM(CLEAN(Table1[[#This Row],[Region]]))</f>
        <v>West</v>
      </c>
    </row>
    <row r="772" spans="1:11" x14ac:dyDescent="0.3">
      <c r="A772" s="2">
        <v>781</v>
      </c>
      <c r="B772" t="s">
        <v>21</v>
      </c>
      <c r="C772" t="s">
        <v>19</v>
      </c>
      <c r="D772" s="4">
        <v>32.951214460000003</v>
      </c>
      <c r="E772" s="4">
        <v>401.97388239999998</v>
      </c>
      <c r="F772" s="4">
        <v>497.93033680000002</v>
      </c>
      <c r="G772" s="4">
        <v>201.10513750000001</v>
      </c>
      <c r="H772" s="4">
        <v>28.574845759999999</v>
      </c>
      <c r="I772" t="s">
        <v>16</v>
      </c>
      <c r="J772" s="1">
        <v>45707</v>
      </c>
      <c r="K772" s="4" t="str">
        <f>TRIM(CLEAN(Table1[[#This Row],[Region]]))</f>
        <v>South</v>
      </c>
    </row>
    <row r="773" spans="1:11" x14ac:dyDescent="0.3">
      <c r="A773" s="2">
        <v>782</v>
      </c>
      <c r="B773" t="s">
        <v>20</v>
      </c>
      <c r="C773" t="s">
        <v>20</v>
      </c>
      <c r="D773" s="4">
        <v>27.230087919999999</v>
      </c>
      <c r="E773" s="4">
        <v>806.19469649999996</v>
      </c>
      <c r="F773" s="4">
        <v>445.39293600000002</v>
      </c>
      <c r="G773" s="4">
        <v>227.82108529999999</v>
      </c>
      <c r="H773" s="4">
        <v>33.21012751</v>
      </c>
      <c r="I773" t="s">
        <v>18</v>
      </c>
      <c r="J773" s="1">
        <v>45708</v>
      </c>
      <c r="K773" s="4" t="str">
        <f>TRIM(CLEAN(Table1[[#This Row],[Region]]))</f>
        <v>Unknown</v>
      </c>
    </row>
    <row r="774" spans="1:11" x14ac:dyDescent="0.3">
      <c r="A774" s="2">
        <v>783</v>
      </c>
      <c r="B774" t="s">
        <v>13</v>
      </c>
      <c r="C774" t="s">
        <v>19</v>
      </c>
      <c r="D774" s="4">
        <v>51.408284270000003</v>
      </c>
      <c r="E774" s="4">
        <v>389.68172429999998</v>
      </c>
      <c r="F774" s="4">
        <v>465.60704720000001</v>
      </c>
      <c r="G774" s="4">
        <v>209.66763900000001</v>
      </c>
      <c r="H774" s="4">
        <v>26.862785819999999</v>
      </c>
      <c r="I774" t="s">
        <v>18</v>
      </c>
      <c r="J774" s="1">
        <v>45709</v>
      </c>
      <c r="K774" s="4" t="str">
        <f>TRIM(CLEAN(Table1[[#This Row],[Region]]))</f>
        <v>East</v>
      </c>
    </row>
    <row r="775" spans="1:11" x14ac:dyDescent="0.3">
      <c r="A775" s="2">
        <v>784</v>
      </c>
      <c r="B775" t="s">
        <v>12</v>
      </c>
      <c r="C775" t="s">
        <v>15</v>
      </c>
      <c r="D775" s="4">
        <v>61.005976070000003</v>
      </c>
      <c r="E775" s="4">
        <v>468.7457263</v>
      </c>
      <c r="F775" s="4">
        <v>568.84885469999995</v>
      </c>
      <c r="G775" s="4">
        <v>167.44485510000001</v>
      </c>
      <c r="H775" s="4">
        <v>30.365290959999999</v>
      </c>
      <c r="I775" t="s">
        <v>18</v>
      </c>
      <c r="J775" s="1">
        <v>45710</v>
      </c>
      <c r="K775" s="4" t="str">
        <f>TRIM(CLEAN(Table1[[#This Row],[Region]]))</f>
        <v>South</v>
      </c>
    </row>
    <row r="776" spans="1:11" x14ac:dyDescent="0.3">
      <c r="A776" s="2">
        <v>785</v>
      </c>
      <c r="B776" t="s">
        <v>12</v>
      </c>
      <c r="C776" t="s">
        <v>19</v>
      </c>
      <c r="D776" s="4">
        <v>52.529368140000003</v>
      </c>
      <c r="E776" s="4">
        <v>334.52717239999998</v>
      </c>
      <c r="F776" s="4">
        <v>484.0680941</v>
      </c>
      <c r="G776" s="4">
        <v>238.41669959999999</v>
      </c>
      <c r="H776" s="4">
        <v>21.88130709</v>
      </c>
      <c r="I776" t="s">
        <v>18</v>
      </c>
      <c r="J776" s="1">
        <v>45711</v>
      </c>
      <c r="K776" s="4" t="str">
        <f>TRIM(CLEAN(Table1[[#This Row],[Region]]))</f>
        <v>South</v>
      </c>
    </row>
    <row r="777" spans="1:11" x14ac:dyDescent="0.3">
      <c r="A777" s="2">
        <v>786</v>
      </c>
      <c r="B777" t="s">
        <v>13</v>
      </c>
      <c r="C777" t="s">
        <v>20</v>
      </c>
      <c r="D777" s="4">
        <v>49.36553936</v>
      </c>
      <c r="E777" s="4">
        <v>553.87981590000004</v>
      </c>
      <c r="F777" s="4">
        <v>354.9782945</v>
      </c>
      <c r="G777" s="4">
        <v>168.78008600000001</v>
      </c>
      <c r="H777" s="4">
        <v>28.15044765</v>
      </c>
      <c r="I777" t="s">
        <v>18</v>
      </c>
      <c r="J777" s="1">
        <v>45712</v>
      </c>
      <c r="K777" s="4" t="str">
        <f>TRIM(CLEAN(Table1[[#This Row],[Region]]))</f>
        <v>East</v>
      </c>
    </row>
    <row r="778" spans="1:11" x14ac:dyDescent="0.3">
      <c r="A778" s="2">
        <v>787</v>
      </c>
      <c r="B778" t="s">
        <v>20</v>
      </c>
      <c r="C778" t="s">
        <v>11</v>
      </c>
      <c r="D778" s="4">
        <v>48.124658799999999</v>
      </c>
      <c r="E778" s="4">
        <v>515.11104369999998</v>
      </c>
      <c r="F778" s="4">
        <v>331.9802899</v>
      </c>
      <c r="G778" s="4">
        <v>45.016473859999998</v>
      </c>
      <c r="H778" s="4">
        <v>32.837443610000001</v>
      </c>
      <c r="I778" t="s">
        <v>16</v>
      </c>
      <c r="J778" s="1">
        <v>45713</v>
      </c>
      <c r="K778" s="4" t="str">
        <f>TRIM(CLEAN(Table1[[#This Row],[Region]]))</f>
        <v>Unknown</v>
      </c>
    </row>
    <row r="779" spans="1:11" x14ac:dyDescent="0.3">
      <c r="A779" s="2">
        <v>788</v>
      </c>
      <c r="B779" t="s">
        <v>21</v>
      </c>
      <c r="C779" t="s">
        <v>15</v>
      </c>
      <c r="D779" s="4">
        <v>40.574346089999999</v>
      </c>
      <c r="E779" s="4">
        <v>503.25760000000002</v>
      </c>
      <c r="F779" s="4">
        <v>301.24350939999999</v>
      </c>
      <c r="G779" s="4">
        <v>206.43264740000001</v>
      </c>
      <c r="H779" s="4">
        <v>24.831325669999998</v>
      </c>
      <c r="I779" t="s">
        <v>20</v>
      </c>
      <c r="J779" s="1">
        <v>45714</v>
      </c>
      <c r="K779" s="4" t="str">
        <f>TRIM(CLEAN(Table1[[#This Row],[Region]]))</f>
        <v>South</v>
      </c>
    </row>
    <row r="780" spans="1:11" x14ac:dyDescent="0.3">
      <c r="A780" s="2">
        <v>789</v>
      </c>
      <c r="B780" t="s">
        <v>13</v>
      </c>
      <c r="C780" t="s">
        <v>11</v>
      </c>
      <c r="D780" s="4">
        <v>47.781390960000003</v>
      </c>
      <c r="E780" s="4">
        <v>326.09343689999997</v>
      </c>
      <c r="F780" s="4">
        <v>480.48430000000002</v>
      </c>
      <c r="G780" s="4">
        <v>172.29631359999999</v>
      </c>
      <c r="H780" s="4">
        <v>29.664100000000001</v>
      </c>
      <c r="I780" t="s">
        <v>16</v>
      </c>
      <c r="J780" s="1">
        <v>45715</v>
      </c>
      <c r="K780" s="4" t="str">
        <f>TRIM(CLEAN(Table1[[#This Row],[Region]]))</f>
        <v>East</v>
      </c>
    </row>
    <row r="781" spans="1:11" x14ac:dyDescent="0.3">
      <c r="A781" s="2">
        <v>790</v>
      </c>
      <c r="B781" t="s">
        <v>14</v>
      </c>
      <c r="C781" t="s">
        <v>19</v>
      </c>
      <c r="D781" s="4">
        <v>54.216844680000001</v>
      </c>
      <c r="E781" s="4">
        <v>611.2905667</v>
      </c>
      <c r="F781" s="4">
        <v>576.89542029999996</v>
      </c>
      <c r="G781" s="4">
        <v>219.10652519999999</v>
      </c>
      <c r="H781" s="4">
        <v>17.974652249999998</v>
      </c>
      <c r="I781" t="s">
        <v>18</v>
      </c>
      <c r="J781" s="1">
        <v>45716</v>
      </c>
      <c r="K781" s="4" t="str">
        <f>TRIM(CLEAN(Table1[[#This Row],[Region]]))</f>
        <v>North</v>
      </c>
    </row>
    <row r="782" spans="1:11" x14ac:dyDescent="0.3">
      <c r="A782" s="2">
        <v>791</v>
      </c>
      <c r="B782" t="s">
        <v>14</v>
      </c>
      <c r="C782" t="s">
        <v>11</v>
      </c>
      <c r="D782" s="4">
        <v>45.647777670000004</v>
      </c>
      <c r="E782" s="4">
        <v>419.25645989999998</v>
      </c>
      <c r="F782" s="4">
        <v>467.22145399999999</v>
      </c>
      <c r="G782" s="4">
        <v>299.94358679999999</v>
      </c>
      <c r="H782" s="4">
        <v>23.159629460000001</v>
      </c>
      <c r="I782" t="s">
        <v>18</v>
      </c>
      <c r="J782" s="1">
        <v>45717</v>
      </c>
      <c r="K782" s="4" t="str">
        <f>TRIM(CLEAN(Table1[[#This Row],[Region]]))</f>
        <v>North</v>
      </c>
    </row>
    <row r="783" spans="1:11" x14ac:dyDescent="0.3">
      <c r="A783" s="2">
        <v>792</v>
      </c>
      <c r="B783" t="s">
        <v>12</v>
      </c>
      <c r="C783" t="s">
        <v>19</v>
      </c>
      <c r="D783" s="4">
        <v>57.505868540000002</v>
      </c>
      <c r="E783" s="4">
        <v>485.09948009999999</v>
      </c>
      <c r="F783" s="4">
        <v>425.54490179999999</v>
      </c>
      <c r="G783" s="4">
        <v>301.38698470000003</v>
      </c>
      <c r="H783" s="4">
        <v>24.467627220000001</v>
      </c>
      <c r="I783" t="s">
        <v>16</v>
      </c>
      <c r="J783" s="1">
        <v>45718</v>
      </c>
      <c r="K783" s="4" t="str">
        <f>TRIM(CLEAN(Table1[[#This Row],[Region]]))</f>
        <v>South</v>
      </c>
    </row>
    <row r="784" spans="1:11" x14ac:dyDescent="0.3">
      <c r="A784" s="2">
        <v>793</v>
      </c>
      <c r="B784" t="s">
        <v>10</v>
      </c>
      <c r="C784" t="s">
        <v>19</v>
      </c>
      <c r="D784" s="4">
        <v>51.959750339999999</v>
      </c>
      <c r="E784" s="4">
        <v>593.15712689999998</v>
      </c>
      <c r="F784" s="4">
        <v>411.128399</v>
      </c>
      <c r="G784" s="4">
        <v>191.7438539</v>
      </c>
      <c r="H784" s="4">
        <v>30.50875525</v>
      </c>
      <c r="I784" t="s">
        <v>18</v>
      </c>
      <c r="J784" s="1">
        <v>45719</v>
      </c>
      <c r="K784" s="4" t="str">
        <f>TRIM(CLEAN(Table1[[#This Row],[Region]]))</f>
        <v>West</v>
      </c>
    </row>
    <row r="785" spans="1:11" x14ac:dyDescent="0.3">
      <c r="A785" s="2">
        <v>794</v>
      </c>
      <c r="B785" t="s">
        <v>21</v>
      </c>
      <c r="C785" t="s">
        <v>11</v>
      </c>
      <c r="D785" s="4">
        <v>53.169794179999997</v>
      </c>
      <c r="E785" s="4">
        <v>526.12666839999997</v>
      </c>
      <c r="F785" s="4">
        <v>611.18845290000002</v>
      </c>
      <c r="G785" s="4">
        <v>158.6742414</v>
      </c>
      <c r="H785" s="4">
        <v>31.66704506</v>
      </c>
      <c r="I785" t="s">
        <v>16</v>
      </c>
      <c r="J785" s="1">
        <v>45720</v>
      </c>
      <c r="K785" s="4" t="str">
        <f>TRIM(CLEAN(Table1[[#This Row],[Region]]))</f>
        <v>South</v>
      </c>
    </row>
    <row r="786" spans="1:11" x14ac:dyDescent="0.3">
      <c r="A786" s="2">
        <v>795</v>
      </c>
      <c r="B786" t="s">
        <v>12</v>
      </c>
      <c r="C786" t="s">
        <v>15</v>
      </c>
      <c r="D786" s="4">
        <v>50.539879999999997</v>
      </c>
      <c r="E786" s="4">
        <v>533.19425569999999</v>
      </c>
      <c r="F786" s="4">
        <v>708.53202099999999</v>
      </c>
      <c r="G786" s="4">
        <v>229.23416409999999</v>
      </c>
      <c r="H786" s="4">
        <v>29.719722170000001</v>
      </c>
      <c r="I786" t="s">
        <v>16</v>
      </c>
      <c r="J786" s="1">
        <v>45721</v>
      </c>
      <c r="K786" s="4" t="str">
        <f>TRIM(CLEAN(Table1[[#This Row],[Region]]))</f>
        <v>South</v>
      </c>
    </row>
    <row r="787" spans="1:11" x14ac:dyDescent="0.3">
      <c r="A787" s="2">
        <v>796</v>
      </c>
      <c r="B787" t="s">
        <v>10</v>
      </c>
      <c r="C787" t="s">
        <v>20</v>
      </c>
      <c r="D787" s="4">
        <v>44.732445669999997</v>
      </c>
      <c r="E787" s="4">
        <v>579.91788199999996</v>
      </c>
      <c r="F787" s="4">
        <v>407.35284910000001</v>
      </c>
      <c r="G787" s="4">
        <v>181.48872040000001</v>
      </c>
      <c r="H787" s="4">
        <v>28.087033089999998</v>
      </c>
      <c r="I787" t="s">
        <v>16</v>
      </c>
      <c r="J787" s="1">
        <v>45722</v>
      </c>
      <c r="K787" s="4" t="str">
        <f>TRIM(CLEAN(Table1[[#This Row],[Region]]))</f>
        <v>West</v>
      </c>
    </row>
    <row r="788" spans="1:11" x14ac:dyDescent="0.3">
      <c r="A788" s="2">
        <v>797</v>
      </c>
      <c r="B788" t="s">
        <v>10</v>
      </c>
      <c r="C788" t="s">
        <v>19</v>
      </c>
      <c r="D788" s="4">
        <v>56.593805860000003</v>
      </c>
      <c r="E788" s="4">
        <v>542.87906399999997</v>
      </c>
      <c r="F788" s="4">
        <v>616.60986249999996</v>
      </c>
      <c r="G788" s="4">
        <v>219.58882610000001</v>
      </c>
      <c r="H788" s="4">
        <v>28.10449126</v>
      </c>
      <c r="I788" t="s">
        <v>18</v>
      </c>
      <c r="J788" s="1">
        <v>45723</v>
      </c>
      <c r="K788" s="4" t="str">
        <f>TRIM(CLEAN(Table1[[#This Row],[Region]]))</f>
        <v>West</v>
      </c>
    </row>
    <row r="789" spans="1:11" x14ac:dyDescent="0.3">
      <c r="A789" s="2">
        <v>798</v>
      </c>
      <c r="B789" t="s">
        <v>14</v>
      </c>
      <c r="C789" t="s">
        <v>19</v>
      </c>
      <c r="D789" s="4">
        <v>46.13523283</v>
      </c>
      <c r="E789" s="4">
        <v>465.88920969999998</v>
      </c>
      <c r="F789" s="4">
        <v>483.36154979999998</v>
      </c>
      <c r="G789" s="4">
        <v>166.95696190000001</v>
      </c>
      <c r="H789" s="4">
        <v>33.580228750000003</v>
      </c>
      <c r="I789" t="s">
        <v>18</v>
      </c>
      <c r="J789" s="1">
        <v>45724</v>
      </c>
      <c r="K789" s="4" t="str">
        <f>TRIM(CLEAN(Table1[[#This Row],[Region]]))</f>
        <v>North</v>
      </c>
    </row>
    <row r="790" spans="1:11" x14ac:dyDescent="0.3">
      <c r="A790" s="2">
        <v>799</v>
      </c>
      <c r="B790" t="s">
        <v>20</v>
      </c>
      <c r="C790" t="s">
        <v>20</v>
      </c>
      <c r="D790" s="4">
        <v>53.39514484</v>
      </c>
      <c r="E790" s="4">
        <v>483.3530872</v>
      </c>
      <c r="F790" s="4">
        <v>454.50852839999999</v>
      </c>
      <c r="G790" s="4">
        <v>212.5346208</v>
      </c>
      <c r="H790" s="4">
        <v>31.06409923</v>
      </c>
      <c r="I790" t="s">
        <v>20</v>
      </c>
      <c r="J790" s="1">
        <v>45725</v>
      </c>
      <c r="K790" s="4" t="str">
        <f>TRIM(CLEAN(Table1[[#This Row],[Region]]))</f>
        <v>Unknown</v>
      </c>
    </row>
    <row r="791" spans="1:11" x14ac:dyDescent="0.3">
      <c r="A791" s="2">
        <v>800</v>
      </c>
      <c r="B791" t="s">
        <v>14</v>
      </c>
      <c r="C791" t="s">
        <v>19</v>
      </c>
      <c r="D791" s="4">
        <v>43.542286490000002</v>
      </c>
      <c r="E791" s="4">
        <v>521.18786790000001</v>
      </c>
      <c r="F791" s="4">
        <v>660.50571390000005</v>
      </c>
      <c r="G791" s="4">
        <v>159.40129239999999</v>
      </c>
      <c r="H791" s="4">
        <v>28.330272019999999</v>
      </c>
      <c r="I791" t="s">
        <v>18</v>
      </c>
      <c r="J791" s="1">
        <v>45726</v>
      </c>
      <c r="K791" s="4" t="str">
        <f>TRIM(CLEAN(Table1[[#This Row],[Region]]))</f>
        <v>North</v>
      </c>
    </row>
    <row r="792" spans="1:11" x14ac:dyDescent="0.3">
      <c r="A792" s="2">
        <v>801</v>
      </c>
      <c r="B792" t="s">
        <v>20</v>
      </c>
      <c r="C792" t="s">
        <v>20</v>
      </c>
      <c r="D792" s="4">
        <v>40.892961769999999</v>
      </c>
      <c r="E792" s="4">
        <v>410.44439060000002</v>
      </c>
      <c r="F792" s="4">
        <v>478.78011350000003</v>
      </c>
      <c r="G792" s="4">
        <v>259.21267080000001</v>
      </c>
      <c r="H792" s="4">
        <v>36.466497480000001</v>
      </c>
      <c r="I792" t="s">
        <v>16</v>
      </c>
      <c r="J792" s="1">
        <v>45727</v>
      </c>
      <c r="K792" s="4" t="str">
        <f>TRIM(CLEAN(Table1[[#This Row],[Region]]))</f>
        <v>Unknown</v>
      </c>
    </row>
    <row r="793" spans="1:11" x14ac:dyDescent="0.3">
      <c r="A793" s="2">
        <v>802</v>
      </c>
      <c r="B793" t="s">
        <v>14</v>
      </c>
      <c r="C793" t="s">
        <v>15</v>
      </c>
      <c r="D793" s="4">
        <v>50.918647460000003</v>
      </c>
      <c r="E793" s="4">
        <v>599.60086590000003</v>
      </c>
      <c r="F793" s="4">
        <v>515.56373269999995</v>
      </c>
      <c r="G793" s="4">
        <v>170.5011155</v>
      </c>
      <c r="H793" s="4">
        <v>39.749875199999998</v>
      </c>
      <c r="I793" t="s">
        <v>18</v>
      </c>
      <c r="J793" s="1">
        <v>45728</v>
      </c>
      <c r="K793" s="4" t="str">
        <f>TRIM(CLEAN(Table1[[#This Row],[Region]]))</f>
        <v>North</v>
      </c>
    </row>
    <row r="794" spans="1:11" x14ac:dyDescent="0.3">
      <c r="A794" s="2">
        <v>803</v>
      </c>
      <c r="B794" t="s">
        <v>13</v>
      </c>
      <c r="C794" t="s">
        <v>17</v>
      </c>
      <c r="D794" s="4">
        <v>31.147999479999999</v>
      </c>
      <c r="E794" s="4">
        <v>528.86539310000001</v>
      </c>
      <c r="F794" s="4">
        <v>509.79287190000002</v>
      </c>
      <c r="G794" s="4">
        <v>233.05512680000001</v>
      </c>
      <c r="H794" s="4">
        <v>23.771287749999999</v>
      </c>
      <c r="I794" t="s">
        <v>18</v>
      </c>
      <c r="J794" s="1">
        <v>45729</v>
      </c>
      <c r="K794" s="4" t="str">
        <f>TRIM(CLEAN(Table1[[#This Row],[Region]]))</f>
        <v>East</v>
      </c>
    </row>
    <row r="795" spans="1:11" x14ac:dyDescent="0.3">
      <c r="A795" s="2">
        <v>804</v>
      </c>
      <c r="B795" t="s">
        <v>14</v>
      </c>
      <c r="C795" t="s">
        <v>11</v>
      </c>
      <c r="D795" s="4">
        <v>47.037325559999999</v>
      </c>
      <c r="E795" s="4">
        <v>507.4776268</v>
      </c>
      <c r="F795" s="4">
        <v>284.92807599999998</v>
      </c>
      <c r="G795" s="4">
        <v>136.76163579999999</v>
      </c>
      <c r="H795" s="4">
        <v>32.612550349999999</v>
      </c>
      <c r="I795" t="s">
        <v>18</v>
      </c>
      <c r="J795" s="1">
        <v>45730</v>
      </c>
      <c r="K795" s="4" t="str">
        <f>TRIM(CLEAN(Table1[[#This Row],[Region]]))</f>
        <v>North</v>
      </c>
    </row>
    <row r="796" spans="1:11" x14ac:dyDescent="0.3">
      <c r="A796" s="2">
        <v>805</v>
      </c>
      <c r="B796" t="s">
        <v>10</v>
      </c>
      <c r="C796" t="s">
        <v>19</v>
      </c>
      <c r="D796" s="4">
        <v>33.936229939999997</v>
      </c>
      <c r="E796" s="4">
        <v>619.24965589999999</v>
      </c>
      <c r="F796" s="4">
        <v>514.60933780000005</v>
      </c>
      <c r="G796" s="4">
        <v>239.05869279999999</v>
      </c>
      <c r="H796" s="4">
        <v>45.44944804</v>
      </c>
      <c r="I796" t="s">
        <v>18</v>
      </c>
      <c r="J796" s="1">
        <v>45731</v>
      </c>
      <c r="K796" s="4" t="str">
        <f>TRIM(CLEAN(Table1[[#This Row],[Region]]))</f>
        <v>West</v>
      </c>
    </row>
    <row r="797" spans="1:11" x14ac:dyDescent="0.3">
      <c r="A797" s="2">
        <v>806</v>
      </c>
      <c r="B797" t="s">
        <v>21</v>
      </c>
      <c r="C797" t="s">
        <v>19</v>
      </c>
      <c r="D797" s="4">
        <v>57.792340340000003</v>
      </c>
      <c r="E797" s="4">
        <v>487.98863569999997</v>
      </c>
      <c r="F797" s="4">
        <v>412.47695709999999</v>
      </c>
      <c r="G797" s="4">
        <v>151.68079650000001</v>
      </c>
      <c r="H797" s="4">
        <v>31.401027710000001</v>
      </c>
      <c r="I797" t="s">
        <v>18</v>
      </c>
      <c r="J797" s="1">
        <v>45732</v>
      </c>
      <c r="K797" s="4" t="str">
        <f>TRIM(CLEAN(Table1[[#This Row],[Region]]))</f>
        <v>South</v>
      </c>
    </row>
    <row r="798" spans="1:11" x14ac:dyDescent="0.3">
      <c r="A798" s="2">
        <v>807</v>
      </c>
      <c r="B798" t="s">
        <v>14</v>
      </c>
      <c r="C798" t="s">
        <v>15</v>
      </c>
      <c r="D798" s="4">
        <v>60.501105959999997</v>
      </c>
      <c r="E798" s="4">
        <v>481.75790030000002</v>
      </c>
      <c r="F798" s="4">
        <v>309.46162320000002</v>
      </c>
      <c r="G798" s="4">
        <v>213.05884030000001</v>
      </c>
      <c r="H798" s="4">
        <v>30.577213180000001</v>
      </c>
      <c r="I798" t="s">
        <v>20</v>
      </c>
      <c r="J798" s="1">
        <v>45733</v>
      </c>
      <c r="K798" s="4" t="str">
        <f>TRIM(CLEAN(Table1[[#This Row],[Region]]))</f>
        <v>North</v>
      </c>
    </row>
    <row r="799" spans="1:11" x14ac:dyDescent="0.3">
      <c r="A799" s="2">
        <v>808</v>
      </c>
      <c r="B799" t="s">
        <v>20</v>
      </c>
      <c r="C799" t="s">
        <v>11</v>
      </c>
      <c r="D799" s="4">
        <v>41.360487790000001</v>
      </c>
      <c r="E799" s="4">
        <v>451.53712359999997</v>
      </c>
      <c r="F799" s="4">
        <v>417.94355030000003</v>
      </c>
      <c r="G799" s="4">
        <v>251.1600487</v>
      </c>
      <c r="H799" s="4">
        <v>29.721330300000002</v>
      </c>
      <c r="I799" t="s">
        <v>20</v>
      </c>
      <c r="J799" s="1">
        <v>45734</v>
      </c>
      <c r="K799" s="4" t="str">
        <f>TRIM(CLEAN(Table1[[#This Row],[Region]]))</f>
        <v>Unknown</v>
      </c>
    </row>
    <row r="800" spans="1:11" x14ac:dyDescent="0.3">
      <c r="A800" s="2">
        <v>809</v>
      </c>
      <c r="B800" t="s">
        <v>10</v>
      </c>
      <c r="C800" t="s">
        <v>15</v>
      </c>
      <c r="D800" s="4">
        <v>54.283129619999997</v>
      </c>
      <c r="E800" s="4">
        <v>534.30670090000001</v>
      </c>
      <c r="F800" s="4">
        <v>416.9533356</v>
      </c>
      <c r="G800" s="4">
        <v>190.0008551</v>
      </c>
      <c r="H800" s="4">
        <v>32.45090759</v>
      </c>
      <c r="I800" t="s">
        <v>18</v>
      </c>
      <c r="J800" s="1">
        <v>45735</v>
      </c>
      <c r="K800" s="4" t="str">
        <f>TRIM(CLEAN(Table1[[#This Row],[Region]]))</f>
        <v>West</v>
      </c>
    </row>
    <row r="801" spans="1:11" x14ac:dyDescent="0.3">
      <c r="A801" s="2">
        <v>810</v>
      </c>
      <c r="B801" t="s">
        <v>14</v>
      </c>
      <c r="C801" t="s">
        <v>11</v>
      </c>
      <c r="D801" s="4">
        <v>58.991357139999998</v>
      </c>
      <c r="E801" s="4">
        <v>530.84501079999995</v>
      </c>
      <c r="F801" s="4">
        <v>603.58590470000001</v>
      </c>
      <c r="G801" s="4">
        <v>148.54165449999999</v>
      </c>
      <c r="H801" s="4">
        <v>33.774495829999999</v>
      </c>
      <c r="I801" t="s">
        <v>18</v>
      </c>
      <c r="J801" s="1">
        <v>45736</v>
      </c>
      <c r="K801" s="4" t="str">
        <f>TRIM(CLEAN(Table1[[#This Row],[Region]]))</f>
        <v>North</v>
      </c>
    </row>
    <row r="802" spans="1:11" x14ac:dyDescent="0.3">
      <c r="A802" s="2">
        <v>811</v>
      </c>
      <c r="B802" t="s">
        <v>14</v>
      </c>
      <c r="C802" t="s">
        <v>11</v>
      </c>
      <c r="D802" s="4">
        <v>59.024692229999999</v>
      </c>
      <c r="E802" s="4">
        <v>433.37157989999997</v>
      </c>
      <c r="F802" s="4">
        <v>352.3452461</v>
      </c>
      <c r="G802" s="4">
        <v>224.84062539999999</v>
      </c>
      <c r="H802" s="4">
        <v>23.776165630000001</v>
      </c>
      <c r="I802" t="s">
        <v>16</v>
      </c>
      <c r="J802" s="1">
        <v>45737</v>
      </c>
      <c r="K802" s="4" t="str">
        <f>TRIM(CLEAN(Table1[[#This Row],[Region]]))</f>
        <v>North</v>
      </c>
    </row>
    <row r="803" spans="1:11" x14ac:dyDescent="0.3">
      <c r="A803" s="2">
        <v>812</v>
      </c>
      <c r="B803" t="s">
        <v>14</v>
      </c>
      <c r="C803" t="s">
        <v>20</v>
      </c>
      <c r="D803" s="4">
        <v>52.144508340000002</v>
      </c>
      <c r="E803" s="4">
        <v>482.23060229999999</v>
      </c>
      <c r="F803" s="4">
        <v>385.21830729999999</v>
      </c>
      <c r="G803" s="4">
        <v>157.95093009999999</v>
      </c>
      <c r="H803" s="4">
        <v>29.867581860000001</v>
      </c>
      <c r="I803" t="s">
        <v>16</v>
      </c>
      <c r="J803" s="1">
        <v>45738</v>
      </c>
      <c r="K803" s="4" t="str">
        <f>TRIM(CLEAN(Table1[[#This Row],[Region]]))</f>
        <v>North</v>
      </c>
    </row>
    <row r="804" spans="1:11" x14ac:dyDescent="0.3">
      <c r="A804" s="2">
        <v>813</v>
      </c>
      <c r="B804" t="s">
        <v>21</v>
      </c>
      <c r="C804" t="s">
        <v>19</v>
      </c>
      <c r="D804" s="4">
        <v>57.34304676</v>
      </c>
      <c r="E804" s="4">
        <v>434.03977309999999</v>
      </c>
      <c r="F804" s="4">
        <v>508.24659129999998</v>
      </c>
      <c r="G804" s="4">
        <v>179.78772000000001</v>
      </c>
      <c r="H804" s="4">
        <v>18.652510679999999</v>
      </c>
      <c r="I804" t="s">
        <v>16</v>
      </c>
      <c r="J804" s="1">
        <v>45739</v>
      </c>
      <c r="K804" s="4" t="str">
        <f>TRIM(CLEAN(Table1[[#This Row],[Region]]))</f>
        <v>South</v>
      </c>
    </row>
    <row r="805" spans="1:11" x14ac:dyDescent="0.3">
      <c r="A805" s="2">
        <v>814</v>
      </c>
      <c r="B805" t="s">
        <v>14</v>
      </c>
      <c r="C805" t="s">
        <v>15</v>
      </c>
      <c r="D805" s="4">
        <v>43.506686879999997</v>
      </c>
      <c r="E805" s="4">
        <v>429.51315460000001</v>
      </c>
      <c r="F805" s="4">
        <v>320.90474740000002</v>
      </c>
      <c r="G805" s="4">
        <v>213.273133</v>
      </c>
      <c r="H805" s="4">
        <v>28.953416919999999</v>
      </c>
      <c r="I805" t="s">
        <v>16</v>
      </c>
      <c r="J805" s="1">
        <v>45740</v>
      </c>
      <c r="K805" s="4" t="str">
        <f>TRIM(CLEAN(Table1[[#This Row],[Region]]))</f>
        <v>North</v>
      </c>
    </row>
    <row r="806" spans="1:11" x14ac:dyDescent="0.3">
      <c r="A806" s="2">
        <v>815</v>
      </c>
      <c r="B806" t="s">
        <v>21</v>
      </c>
      <c r="C806" t="s">
        <v>15</v>
      </c>
      <c r="D806" s="4">
        <v>50.831224659999997</v>
      </c>
      <c r="E806" s="4">
        <v>327.01021680000002</v>
      </c>
      <c r="F806" s="4">
        <v>400.91918900000002</v>
      </c>
      <c r="G806" s="4">
        <v>268.03380179999999</v>
      </c>
      <c r="H806" s="4">
        <v>25.48655703</v>
      </c>
      <c r="I806" t="s">
        <v>18</v>
      </c>
      <c r="J806" s="1">
        <v>45741</v>
      </c>
      <c r="K806" s="4" t="str">
        <f>TRIM(CLEAN(Table1[[#This Row],[Region]]))</f>
        <v>South</v>
      </c>
    </row>
    <row r="807" spans="1:11" x14ac:dyDescent="0.3">
      <c r="A807" s="2">
        <v>816</v>
      </c>
      <c r="B807" t="s">
        <v>12</v>
      </c>
      <c r="C807" t="s">
        <v>20</v>
      </c>
      <c r="D807" s="4">
        <v>45.328965930000003</v>
      </c>
      <c r="E807" s="4">
        <v>476.90897460000002</v>
      </c>
      <c r="F807" s="4">
        <v>480.48430000000002</v>
      </c>
      <c r="G807" s="4">
        <v>201.32766770000001</v>
      </c>
      <c r="H807" s="4">
        <v>31.695887899999999</v>
      </c>
      <c r="I807" t="s">
        <v>16</v>
      </c>
      <c r="J807" s="1">
        <v>45742</v>
      </c>
      <c r="K807" s="4" t="str">
        <f>TRIM(CLEAN(Table1[[#This Row],[Region]]))</f>
        <v>South</v>
      </c>
    </row>
    <row r="808" spans="1:11" x14ac:dyDescent="0.3">
      <c r="A808" s="2">
        <v>817</v>
      </c>
      <c r="B808" t="s">
        <v>10</v>
      </c>
      <c r="C808" t="s">
        <v>19</v>
      </c>
      <c r="D808" s="4">
        <v>42.662120260000002</v>
      </c>
      <c r="E808" s="4">
        <v>329.7786734</v>
      </c>
      <c r="F808" s="4">
        <v>590.40137519999996</v>
      </c>
      <c r="G808" s="4">
        <v>201.1428755</v>
      </c>
      <c r="H808" s="4">
        <v>21.718097360000002</v>
      </c>
      <c r="I808" t="s">
        <v>18</v>
      </c>
      <c r="J808" s="1">
        <v>45743</v>
      </c>
      <c r="K808" s="4" t="str">
        <f>TRIM(CLEAN(Table1[[#This Row],[Region]]))</f>
        <v>West</v>
      </c>
    </row>
    <row r="809" spans="1:11" x14ac:dyDescent="0.3">
      <c r="A809" s="2">
        <v>818</v>
      </c>
      <c r="B809" t="s">
        <v>14</v>
      </c>
      <c r="C809" t="s">
        <v>19</v>
      </c>
      <c r="D809" s="4">
        <v>50.360633909999997</v>
      </c>
      <c r="E809" s="4">
        <v>453.71843139999999</v>
      </c>
      <c r="F809" s="4">
        <v>443.83642550000002</v>
      </c>
      <c r="G809" s="4">
        <v>236.87564470000001</v>
      </c>
      <c r="H809" s="4">
        <v>27.438413449999999</v>
      </c>
      <c r="I809" t="s">
        <v>18</v>
      </c>
      <c r="J809" s="1">
        <v>45744</v>
      </c>
      <c r="K809" s="4" t="str">
        <f>TRIM(CLEAN(Table1[[#This Row],[Region]]))</f>
        <v>North</v>
      </c>
    </row>
    <row r="810" spans="1:11" x14ac:dyDescent="0.3">
      <c r="A810" s="2">
        <v>819</v>
      </c>
      <c r="B810" t="s">
        <v>14</v>
      </c>
      <c r="C810" t="s">
        <v>19</v>
      </c>
      <c r="D810" s="4">
        <v>53.475303760000003</v>
      </c>
      <c r="E810" s="4">
        <v>438.73053540000001</v>
      </c>
      <c r="F810" s="4">
        <v>478.08985860000001</v>
      </c>
      <c r="G810" s="4">
        <v>202.51859479999999</v>
      </c>
      <c r="H810" s="4">
        <v>34.832721249999999</v>
      </c>
      <c r="I810" t="s">
        <v>18</v>
      </c>
      <c r="J810" s="1">
        <v>45745</v>
      </c>
      <c r="K810" s="4" t="str">
        <f>TRIM(CLEAN(Table1[[#This Row],[Region]]))</f>
        <v>North</v>
      </c>
    </row>
    <row r="811" spans="1:11" x14ac:dyDescent="0.3">
      <c r="A811" s="2">
        <v>820</v>
      </c>
      <c r="B811" t="s">
        <v>14</v>
      </c>
      <c r="C811" t="s">
        <v>20</v>
      </c>
      <c r="D811" s="4">
        <v>61.635087679999998</v>
      </c>
      <c r="E811" s="4">
        <v>605.18950570000004</v>
      </c>
      <c r="F811" s="4">
        <v>589.92123839999999</v>
      </c>
      <c r="G811" s="4">
        <v>231.77651</v>
      </c>
      <c r="H811" s="4">
        <v>26.618334239999999</v>
      </c>
      <c r="I811" t="s">
        <v>18</v>
      </c>
      <c r="J811" s="1">
        <v>45746</v>
      </c>
      <c r="K811" s="4" t="str">
        <f>TRIM(CLEAN(Table1[[#This Row],[Region]]))</f>
        <v>North</v>
      </c>
    </row>
    <row r="812" spans="1:11" x14ac:dyDescent="0.3">
      <c r="A812" s="2">
        <v>821</v>
      </c>
      <c r="B812" t="s">
        <v>20</v>
      </c>
      <c r="C812" t="s">
        <v>17</v>
      </c>
      <c r="D812" s="4">
        <v>52.651555270000003</v>
      </c>
      <c r="E812" s="4">
        <v>398.5065194</v>
      </c>
      <c r="F812" s="4">
        <v>393.32773400000002</v>
      </c>
      <c r="G812" s="4">
        <v>253.92667729999999</v>
      </c>
      <c r="H812" s="4">
        <v>20.475321109999999</v>
      </c>
      <c r="I812" t="s">
        <v>18</v>
      </c>
      <c r="J812" s="1">
        <v>45747</v>
      </c>
      <c r="K812" s="4" t="str">
        <f>TRIM(CLEAN(Table1[[#This Row],[Region]]))</f>
        <v>Unknown</v>
      </c>
    </row>
    <row r="813" spans="1:11" x14ac:dyDescent="0.3">
      <c r="A813" s="2">
        <v>822</v>
      </c>
      <c r="B813" t="s">
        <v>14</v>
      </c>
      <c r="C813" t="s">
        <v>20</v>
      </c>
      <c r="D813" s="4">
        <v>56.419305350000002</v>
      </c>
      <c r="E813" s="4">
        <v>423.88136150000003</v>
      </c>
      <c r="F813" s="4">
        <v>442.56155899999999</v>
      </c>
      <c r="G813" s="4">
        <v>183.61314250000001</v>
      </c>
      <c r="H813" s="4">
        <v>31.28766577</v>
      </c>
      <c r="I813" t="s">
        <v>20</v>
      </c>
      <c r="J813" s="1">
        <v>45748</v>
      </c>
      <c r="K813" s="4" t="str">
        <f>TRIM(CLEAN(Table1[[#This Row],[Region]]))</f>
        <v>North</v>
      </c>
    </row>
    <row r="814" spans="1:11" x14ac:dyDescent="0.3">
      <c r="A814" s="2">
        <v>823</v>
      </c>
      <c r="B814" t="s">
        <v>21</v>
      </c>
      <c r="C814" t="s">
        <v>19</v>
      </c>
      <c r="D814" s="4">
        <v>282.66415869999997</v>
      </c>
      <c r="E814" s="4">
        <v>1847.3903439999999</v>
      </c>
      <c r="F814" s="4">
        <v>353.24064010000001</v>
      </c>
      <c r="G814" s="4">
        <v>36.249468299999997</v>
      </c>
      <c r="H814" s="4">
        <v>27.067355030000002</v>
      </c>
      <c r="I814" t="s">
        <v>18</v>
      </c>
      <c r="J814" s="1">
        <v>45749</v>
      </c>
      <c r="K814" s="4" t="str">
        <f>TRIM(CLEAN(Table1[[#This Row],[Region]]))</f>
        <v>South</v>
      </c>
    </row>
    <row r="815" spans="1:11" x14ac:dyDescent="0.3">
      <c r="A815" s="2">
        <v>824</v>
      </c>
      <c r="B815" t="s">
        <v>14</v>
      </c>
      <c r="C815" t="s">
        <v>11</v>
      </c>
      <c r="D815" s="4">
        <v>76.875343659999999</v>
      </c>
      <c r="E815" s="4">
        <v>441.98563480000001</v>
      </c>
      <c r="F815" s="4">
        <v>352.97955350000001</v>
      </c>
      <c r="G815" s="4">
        <v>159.10364530000001</v>
      </c>
      <c r="H815" s="4">
        <v>29.070572819999999</v>
      </c>
      <c r="I815" t="s">
        <v>18</v>
      </c>
      <c r="J815" s="1">
        <v>45750</v>
      </c>
      <c r="K815" s="4" t="str">
        <f>TRIM(CLEAN(Table1[[#This Row],[Region]]))</f>
        <v>North</v>
      </c>
    </row>
    <row r="816" spans="1:11" x14ac:dyDescent="0.3">
      <c r="A816" s="2">
        <v>825</v>
      </c>
      <c r="B816" t="s">
        <v>13</v>
      </c>
      <c r="C816" t="s">
        <v>15</v>
      </c>
      <c r="D816" s="4">
        <v>31.899675970000001</v>
      </c>
      <c r="E816" s="4">
        <v>636.92547969999998</v>
      </c>
      <c r="F816" s="4">
        <v>369.5300527</v>
      </c>
      <c r="G816" s="4">
        <v>260.4341005</v>
      </c>
      <c r="H816" s="4">
        <v>26.350652069999999</v>
      </c>
      <c r="I816" t="s">
        <v>18</v>
      </c>
      <c r="J816" s="1">
        <v>45751</v>
      </c>
      <c r="K816" s="4" t="str">
        <f>TRIM(CLEAN(Table1[[#This Row],[Region]]))</f>
        <v>East</v>
      </c>
    </row>
    <row r="817" spans="1:11" x14ac:dyDescent="0.3">
      <c r="A817" s="2">
        <v>826</v>
      </c>
      <c r="B817" t="s">
        <v>10</v>
      </c>
      <c r="C817" t="s">
        <v>19</v>
      </c>
      <c r="D817" s="4">
        <v>43.120661329999997</v>
      </c>
      <c r="E817" s="4">
        <v>386.14326269999998</v>
      </c>
      <c r="F817" s="4">
        <v>420.90115309999999</v>
      </c>
      <c r="G817" s="4">
        <v>198.3117609</v>
      </c>
      <c r="H817" s="4">
        <v>39.871983720000003</v>
      </c>
      <c r="I817" t="s">
        <v>18</v>
      </c>
      <c r="J817" s="1">
        <v>45752</v>
      </c>
      <c r="K817" s="4" t="str">
        <f>TRIM(CLEAN(Table1[[#This Row],[Region]]))</f>
        <v>West</v>
      </c>
    </row>
    <row r="818" spans="1:11" x14ac:dyDescent="0.3">
      <c r="A818" s="2">
        <v>827</v>
      </c>
      <c r="B818" t="s">
        <v>14</v>
      </c>
      <c r="C818" t="s">
        <v>15</v>
      </c>
      <c r="D818" s="4">
        <v>64.740560520000002</v>
      </c>
      <c r="E818" s="4">
        <v>462.05955010000002</v>
      </c>
      <c r="F818" s="4">
        <v>433.8245359</v>
      </c>
      <c r="G818" s="4">
        <v>183.0434865</v>
      </c>
      <c r="H818" s="4">
        <v>22.209636320000001</v>
      </c>
      <c r="I818" t="s">
        <v>20</v>
      </c>
      <c r="J818" s="1">
        <v>45753</v>
      </c>
      <c r="K818" s="4" t="str">
        <f>TRIM(CLEAN(Table1[[#This Row],[Region]]))</f>
        <v>North</v>
      </c>
    </row>
    <row r="819" spans="1:11" x14ac:dyDescent="0.3">
      <c r="A819" s="2">
        <v>828</v>
      </c>
      <c r="B819" t="s">
        <v>10</v>
      </c>
      <c r="C819" t="s">
        <v>15</v>
      </c>
      <c r="D819" s="4">
        <v>50.539879999999997</v>
      </c>
      <c r="E819" s="4">
        <v>533.20652489999998</v>
      </c>
      <c r="F819" s="4">
        <v>514.63585809999995</v>
      </c>
      <c r="G819" s="4">
        <v>258.33924969999998</v>
      </c>
      <c r="H819" s="4">
        <v>44.167478060000001</v>
      </c>
      <c r="I819" t="s">
        <v>20</v>
      </c>
      <c r="J819" s="1">
        <v>45754</v>
      </c>
      <c r="K819" s="4" t="str">
        <f>TRIM(CLEAN(Table1[[#This Row],[Region]]))</f>
        <v>West</v>
      </c>
    </row>
    <row r="820" spans="1:11" x14ac:dyDescent="0.3">
      <c r="A820" s="2">
        <v>829</v>
      </c>
      <c r="B820" t="s">
        <v>13</v>
      </c>
      <c r="C820" t="s">
        <v>17</v>
      </c>
      <c r="D820" s="4">
        <v>58.85803138</v>
      </c>
      <c r="E820" s="4">
        <v>588.11833430000001</v>
      </c>
      <c r="F820" s="4">
        <v>373.05396619999999</v>
      </c>
      <c r="G820" s="4">
        <v>194.93375420000001</v>
      </c>
      <c r="H820" s="4">
        <v>28.046817350000001</v>
      </c>
      <c r="I820" t="s">
        <v>16</v>
      </c>
      <c r="J820" s="1">
        <v>45755</v>
      </c>
      <c r="K820" s="4" t="str">
        <f>TRIM(CLEAN(Table1[[#This Row],[Region]]))</f>
        <v>East</v>
      </c>
    </row>
    <row r="821" spans="1:11" x14ac:dyDescent="0.3">
      <c r="A821" s="2">
        <v>830</v>
      </c>
      <c r="B821" t="s">
        <v>13</v>
      </c>
      <c r="C821" t="s">
        <v>19</v>
      </c>
      <c r="D821" s="4">
        <v>52.300095239999997</v>
      </c>
      <c r="E821" s="4">
        <v>461.97584440000003</v>
      </c>
      <c r="F821" s="4">
        <v>518.35592110000005</v>
      </c>
      <c r="G821" s="4">
        <v>95.373339709999996</v>
      </c>
      <c r="H821" s="4">
        <v>30.91723288</v>
      </c>
      <c r="I821" t="s">
        <v>16</v>
      </c>
      <c r="J821" s="1">
        <v>45756</v>
      </c>
      <c r="K821" s="4" t="str">
        <f>TRIM(CLEAN(Table1[[#This Row],[Region]]))</f>
        <v>East</v>
      </c>
    </row>
    <row r="822" spans="1:11" x14ac:dyDescent="0.3">
      <c r="A822" s="2">
        <v>831</v>
      </c>
      <c r="B822" t="s">
        <v>20</v>
      </c>
      <c r="C822" t="s">
        <v>19</v>
      </c>
      <c r="D822" s="4">
        <v>71.052024009999997</v>
      </c>
      <c r="E822" s="4">
        <v>308.19003989999999</v>
      </c>
      <c r="F822" s="4">
        <v>538.200155</v>
      </c>
      <c r="G822" s="4">
        <v>124.7348969</v>
      </c>
      <c r="H822" s="4">
        <v>27.126017910000002</v>
      </c>
      <c r="I822" t="s">
        <v>18</v>
      </c>
      <c r="J822" s="1">
        <v>45757</v>
      </c>
      <c r="K822" s="4" t="str">
        <f>TRIM(CLEAN(Table1[[#This Row],[Region]]))</f>
        <v>Unknown</v>
      </c>
    </row>
    <row r="823" spans="1:11" x14ac:dyDescent="0.3">
      <c r="A823" s="2">
        <v>832</v>
      </c>
      <c r="B823" t="s">
        <v>14</v>
      </c>
      <c r="C823" t="s">
        <v>15</v>
      </c>
      <c r="D823" s="4">
        <v>38.869455729999999</v>
      </c>
      <c r="E823" s="4">
        <v>484.98957780000001</v>
      </c>
      <c r="F823" s="4">
        <v>423.86133810000001</v>
      </c>
      <c r="G823" s="4">
        <v>220.932401</v>
      </c>
      <c r="H823" s="4">
        <v>26.916832200000002</v>
      </c>
      <c r="I823" t="s">
        <v>18</v>
      </c>
      <c r="J823" s="1">
        <v>45758</v>
      </c>
      <c r="K823" s="4" t="str">
        <f>TRIM(CLEAN(Table1[[#This Row],[Region]]))</f>
        <v>North</v>
      </c>
    </row>
    <row r="824" spans="1:11" x14ac:dyDescent="0.3">
      <c r="A824" s="2">
        <v>833</v>
      </c>
      <c r="B824" t="s">
        <v>12</v>
      </c>
      <c r="C824" t="s">
        <v>19</v>
      </c>
      <c r="D824" s="4">
        <v>62.218005529999999</v>
      </c>
      <c r="E824" s="4">
        <v>635.20284760000004</v>
      </c>
      <c r="F824" s="4">
        <v>383.43305129999999</v>
      </c>
      <c r="G824" s="4">
        <v>199.07849999999999</v>
      </c>
      <c r="H824" s="4">
        <v>26.07585048</v>
      </c>
      <c r="I824" t="s">
        <v>20</v>
      </c>
      <c r="J824" s="1">
        <v>45759</v>
      </c>
      <c r="K824" s="4" t="str">
        <f>TRIM(CLEAN(Table1[[#This Row],[Region]]))</f>
        <v>South</v>
      </c>
    </row>
    <row r="825" spans="1:11" x14ac:dyDescent="0.3">
      <c r="A825" s="2">
        <v>834</v>
      </c>
      <c r="B825" t="s">
        <v>20</v>
      </c>
      <c r="C825" t="s">
        <v>11</v>
      </c>
      <c r="D825" s="4">
        <v>67.495813049999995</v>
      </c>
      <c r="E825" s="4">
        <v>528.21874070000001</v>
      </c>
      <c r="F825" s="4">
        <v>490.20948379999999</v>
      </c>
      <c r="G825" s="4">
        <v>272.73282390000003</v>
      </c>
      <c r="H825" s="4">
        <v>33.006289809999998</v>
      </c>
      <c r="I825" t="s">
        <v>20</v>
      </c>
      <c r="J825" s="1">
        <v>45760</v>
      </c>
      <c r="K825" s="4" t="str">
        <f>TRIM(CLEAN(Table1[[#This Row],[Region]]))</f>
        <v>Unknown</v>
      </c>
    </row>
    <row r="826" spans="1:11" x14ac:dyDescent="0.3">
      <c r="A826" s="2">
        <v>835</v>
      </c>
      <c r="B826" t="s">
        <v>14</v>
      </c>
      <c r="C826" t="s">
        <v>17</v>
      </c>
      <c r="D826" s="4">
        <v>39.85581123</v>
      </c>
      <c r="E826" s="4">
        <v>523.64178619999996</v>
      </c>
      <c r="F826" s="4">
        <v>455.64990440000003</v>
      </c>
      <c r="G826" s="4">
        <v>163.33656579999999</v>
      </c>
      <c r="H826" s="4">
        <v>22.94600153</v>
      </c>
      <c r="I826" t="s">
        <v>16</v>
      </c>
      <c r="J826" s="1">
        <v>45761</v>
      </c>
      <c r="K826" s="4" t="str">
        <f>TRIM(CLEAN(Table1[[#This Row],[Region]]))</f>
        <v>North</v>
      </c>
    </row>
    <row r="827" spans="1:11" x14ac:dyDescent="0.3">
      <c r="A827" s="2">
        <v>836</v>
      </c>
      <c r="B827" t="s">
        <v>14</v>
      </c>
      <c r="C827" t="s">
        <v>11</v>
      </c>
      <c r="D827" s="4">
        <v>57.828702440000001</v>
      </c>
      <c r="E827" s="4">
        <v>393.6982008</v>
      </c>
      <c r="F827" s="4">
        <v>506.44221950000002</v>
      </c>
      <c r="G827" s="4">
        <v>184.52496189999999</v>
      </c>
      <c r="H827" s="4">
        <v>31.820542719999999</v>
      </c>
      <c r="I827" t="s">
        <v>16</v>
      </c>
      <c r="J827" s="1">
        <v>45762</v>
      </c>
      <c r="K827" s="4" t="str">
        <f>TRIM(CLEAN(Table1[[#This Row],[Region]]))</f>
        <v>North</v>
      </c>
    </row>
    <row r="828" spans="1:11" x14ac:dyDescent="0.3">
      <c r="A828" s="2">
        <v>837</v>
      </c>
      <c r="B828" t="s">
        <v>21</v>
      </c>
      <c r="C828" t="s">
        <v>19</v>
      </c>
      <c r="D828" s="4">
        <v>40.345020140000003</v>
      </c>
      <c r="E828" s="4">
        <v>383.432841</v>
      </c>
      <c r="F828" s="4">
        <v>668.38397239999995</v>
      </c>
      <c r="G828" s="4">
        <v>155.77484630000001</v>
      </c>
      <c r="H828" s="4">
        <v>19.07753632</v>
      </c>
      <c r="I828" t="s">
        <v>16</v>
      </c>
      <c r="J828" s="1">
        <v>45763</v>
      </c>
      <c r="K828" s="4" t="str">
        <f>TRIM(CLEAN(Table1[[#This Row],[Region]]))</f>
        <v>South</v>
      </c>
    </row>
    <row r="829" spans="1:11" x14ac:dyDescent="0.3">
      <c r="A829" s="2">
        <v>839</v>
      </c>
      <c r="B829" t="s">
        <v>20</v>
      </c>
      <c r="C829" t="s">
        <v>19</v>
      </c>
      <c r="D829" s="4">
        <v>47.434120700000001</v>
      </c>
      <c r="E829" s="4">
        <v>357.36210779999999</v>
      </c>
      <c r="F829" s="4">
        <v>403.29233260000001</v>
      </c>
      <c r="G829" s="4">
        <v>105.4048049</v>
      </c>
      <c r="H829" s="4">
        <v>34.245713029999997</v>
      </c>
      <c r="I829" t="s">
        <v>18</v>
      </c>
      <c r="J829" s="1">
        <v>45765</v>
      </c>
      <c r="K829" s="4" t="str">
        <f>TRIM(CLEAN(Table1[[#This Row],[Region]]))</f>
        <v>Unknown</v>
      </c>
    </row>
    <row r="830" spans="1:11" x14ac:dyDescent="0.3">
      <c r="A830" s="2">
        <v>840</v>
      </c>
      <c r="B830" t="s">
        <v>14</v>
      </c>
      <c r="C830" t="s">
        <v>15</v>
      </c>
      <c r="D830" s="4">
        <v>25.972460649999999</v>
      </c>
      <c r="E830" s="4">
        <v>578.13622220000002</v>
      </c>
      <c r="F830" s="4">
        <v>373.09324659999999</v>
      </c>
      <c r="G830" s="4">
        <v>180.71576680000001</v>
      </c>
      <c r="H830" s="4">
        <v>23.627404460000001</v>
      </c>
      <c r="I830" t="s">
        <v>16</v>
      </c>
      <c r="J830" s="1">
        <v>45766</v>
      </c>
      <c r="K830" s="4" t="str">
        <f>TRIM(CLEAN(Table1[[#This Row],[Region]]))</f>
        <v>North</v>
      </c>
    </row>
    <row r="831" spans="1:11" x14ac:dyDescent="0.3">
      <c r="A831" s="2">
        <v>841</v>
      </c>
      <c r="B831" t="s">
        <v>14</v>
      </c>
      <c r="C831" t="s">
        <v>15</v>
      </c>
      <c r="D831" s="4">
        <v>54.242342600000001</v>
      </c>
      <c r="E831" s="4">
        <v>415.33537510000002</v>
      </c>
      <c r="F831" s="4">
        <v>377.73580420000002</v>
      </c>
      <c r="G831" s="4">
        <v>197.4065568</v>
      </c>
      <c r="H831" s="4">
        <v>33.393713009999999</v>
      </c>
      <c r="I831" t="s">
        <v>20</v>
      </c>
      <c r="J831" s="1">
        <v>45767</v>
      </c>
      <c r="K831" s="4" t="str">
        <f>TRIM(CLEAN(Table1[[#This Row],[Region]]))</f>
        <v>North</v>
      </c>
    </row>
    <row r="832" spans="1:11" x14ac:dyDescent="0.3">
      <c r="A832" s="2">
        <v>842</v>
      </c>
      <c r="B832" t="s">
        <v>20</v>
      </c>
      <c r="C832" t="s">
        <v>11</v>
      </c>
      <c r="D832" s="4">
        <v>51.43339168</v>
      </c>
      <c r="E832" s="4">
        <v>497.53427190000002</v>
      </c>
      <c r="F832" s="4">
        <v>304.46804309999999</v>
      </c>
      <c r="G832" s="4">
        <v>193.18345790000001</v>
      </c>
      <c r="H832" s="4">
        <v>30.256927050000002</v>
      </c>
      <c r="I832" t="s">
        <v>16</v>
      </c>
      <c r="J832" s="1">
        <v>45768</v>
      </c>
      <c r="K832" s="4" t="str">
        <f>TRIM(CLEAN(Table1[[#This Row],[Region]]))</f>
        <v>Unknown</v>
      </c>
    </row>
    <row r="833" spans="1:11" x14ac:dyDescent="0.3">
      <c r="A833" s="2">
        <v>843</v>
      </c>
      <c r="B833" t="s">
        <v>21</v>
      </c>
      <c r="C833" t="s">
        <v>17</v>
      </c>
      <c r="D833" s="4">
        <v>64.79078973</v>
      </c>
      <c r="E833" s="4">
        <v>311.42330809999999</v>
      </c>
      <c r="F833" s="4">
        <v>591.92923299999995</v>
      </c>
      <c r="G833" s="4">
        <v>307.47766319999999</v>
      </c>
      <c r="H833" s="4">
        <v>37.99213228</v>
      </c>
      <c r="I833" t="s">
        <v>16</v>
      </c>
      <c r="J833" s="1">
        <v>45769</v>
      </c>
      <c r="K833" s="4" t="str">
        <f>TRIM(CLEAN(Table1[[#This Row],[Region]]))</f>
        <v>South</v>
      </c>
    </row>
    <row r="834" spans="1:11" x14ac:dyDescent="0.3">
      <c r="A834" s="2">
        <v>844</v>
      </c>
      <c r="B834" t="s">
        <v>13</v>
      </c>
      <c r="C834" t="s">
        <v>20</v>
      </c>
      <c r="D834" s="4">
        <v>56.111436550000001</v>
      </c>
      <c r="E834" s="4">
        <v>460.61981320000001</v>
      </c>
      <c r="F834" s="4">
        <v>212.00654170000001</v>
      </c>
      <c r="G834" s="4">
        <v>291.6742289</v>
      </c>
      <c r="H834" s="4">
        <v>25.72396809</v>
      </c>
      <c r="I834" t="s">
        <v>18</v>
      </c>
      <c r="J834" s="1">
        <v>45770</v>
      </c>
      <c r="K834" s="4" t="str">
        <f>TRIM(CLEAN(Table1[[#This Row],[Region]]))</f>
        <v>East</v>
      </c>
    </row>
    <row r="835" spans="1:11" x14ac:dyDescent="0.3">
      <c r="A835" s="2">
        <v>845</v>
      </c>
      <c r="B835" t="s">
        <v>20</v>
      </c>
      <c r="C835" t="s">
        <v>15</v>
      </c>
      <c r="D835" s="4">
        <v>50.539879999999997</v>
      </c>
      <c r="E835" s="4">
        <v>381.41394530000002</v>
      </c>
      <c r="F835" s="4">
        <v>538.57257809999999</v>
      </c>
      <c r="G835" s="4">
        <v>162.4550265</v>
      </c>
      <c r="H835" s="4">
        <v>44.07992952</v>
      </c>
      <c r="I835" t="s">
        <v>20</v>
      </c>
      <c r="J835" s="1">
        <v>45771</v>
      </c>
      <c r="K835" s="4" t="str">
        <f>TRIM(CLEAN(Table1[[#This Row],[Region]]))</f>
        <v>Unknown</v>
      </c>
    </row>
    <row r="836" spans="1:11" x14ac:dyDescent="0.3">
      <c r="A836" s="2">
        <v>846</v>
      </c>
      <c r="B836" t="s">
        <v>14</v>
      </c>
      <c r="C836" t="s">
        <v>19</v>
      </c>
      <c r="D836" s="4">
        <v>51.070423820000002</v>
      </c>
      <c r="E836" s="4">
        <v>267.80435829999999</v>
      </c>
      <c r="F836" s="4">
        <v>375.8323312</v>
      </c>
      <c r="G836" s="4">
        <v>97.803165269999994</v>
      </c>
      <c r="H836" s="4">
        <v>18.04608923</v>
      </c>
      <c r="I836" t="s">
        <v>20</v>
      </c>
      <c r="J836" s="1">
        <v>45772</v>
      </c>
      <c r="K836" s="4" t="str">
        <f>TRIM(CLEAN(Table1[[#This Row],[Region]]))</f>
        <v>North</v>
      </c>
    </row>
    <row r="837" spans="1:11" x14ac:dyDescent="0.3">
      <c r="A837" s="2">
        <v>847</v>
      </c>
      <c r="B837" t="s">
        <v>13</v>
      </c>
      <c r="C837" t="s">
        <v>11</v>
      </c>
      <c r="D837" s="4">
        <v>48.944699479999997</v>
      </c>
      <c r="E837" s="4">
        <v>554.18420890000004</v>
      </c>
      <c r="F837" s="4">
        <v>418.51137419999998</v>
      </c>
      <c r="G837" s="4">
        <v>195.03998240000001</v>
      </c>
      <c r="H837" s="4">
        <v>28.352481000000001</v>
      </c>
      <c r="I837" t="s">
        <v>18</v>
      </c>
      <c r="J837" s="1">
        <v>45773</v>
      </c>
      <c r="K837" s="4" t="str">
        <f>TRIM(CLEAN(Table1[[#This Row],[Region]]))</f>
        <v>East</v>
      </c>
    </row>
    <row r="838" spans="1:11" x14ac:dyDescent="0.3">
      <c r="A838" s="2">
        <v>848</v>
      </c>
      <c r="B838" t="s">
        <v>10</v>
      </c>
      <c r="C838" t="s">
        <v>11</v>
      </c>
      <c r="D838" s="4">
        <v>48.156433489999998</v>
      </c>
      <c r="E838" s="4">
        <v>664.11595390000002</v>
      </c>
      <c r="F838" s="4">
        <v>372.24148300000002</v>
      </c>
      <c r="G838" s="4">
        <v>218.82550689999999</v>
      </c>
      <c r="H838" s="4">
        <v>21.507151449999999</v>
      </c>
      <c r="I838" t="s">
        <v>18</v>
      </c>
      <c r="J838" s="1">
        <v>45774</v>
      </c>
      <c r="K838" s="4" t="str">
        <f>TRIM(CLEAN(Table1[[#This Row],[Region]]))</f>
        <v>West</v>
      </c>
    </row>
    <row r="839" spans="1:11" x14ac:dyDescent="0.3">
      <c r="A839" s="2">
        <v>849</v>
      </c>
      <c r="B839" t="s">
        <v>12</v>
      </c>
      <c r="C839" t="s">
        <v>20</v>
      </c>
      <c r="D839" s="4">
        <v>45.604112890000003</v>
      </c>
      <c r="E839" s="4">
        <v>612.94735890000004</v>
      </c>
      <c r="F839" s="4">
        <v>653.50375919999999</v>
      </c>
      <c r="G839" s="4">
        <v>156.97579630000001</v>
      </c>
      <c r="H839" s="4">
        <v>39.255270879999998</v>
      </c>
      <c r="I839" t="s">
        <v>18</v>
      </c>
      <c r="J839" s="1">
        <v>45775</v>
      </c>
      <c r="K839" s="4" t="str">
        <f>TRIM(CLEAN(Table1[[#This Row],[Region]]))</f>
        <v>South</v>
      </c>
    </row>
    <row r="840" spans="1:11" x14ac:dyDescent="0.3">
      <c r="A840" s="2">
        <v>850</v>
      </c>
      <c r="B840" t="s">
        <v>21</v>
      </c>
      <c r="C840" t="s">
        <v>19</v>
      </c>
      <c r="D840" s="4">
        <v>27.922490839999998</v>
      </c>
      <c r="E840" s="4">
        <v>568.16906900000004</v>
      </c>
      <c r="F840" s="4">
        <v>481.9578722</v>
      </c>
      <c r="G840" s="4">
        <v>159.45121829999999</v>
      </c>
      <c r="H840" s="4">
        <v>28.691495029999999</v>
      </c>
      <c r="I840" t="s">
        <v>18</v>
      </c>
      <c r="J840" s="1">
        <v>45776</v>
      </c>
      <c r="K840" s="4" t="str">
        <f>TRIM(CLEAN(Table1[[#This Row],[Region]]))</f>
        <v>South</v>
      </c>
    </row>
    <row r="841" spans="1:11" x14ac:dyDescent="0.3">
      <c r="A841" s="2">
        <v>851</v>
      </c>
      <c r="B841" t="s">
        <v>10</v>
      </c>
      <c r="C841" t="s">
        <v>17</v>
      </c>
      <c r="D841" s="4">
        <v>47.798053729999999</v>
      </c>
      <c r="E841" s="4">
        <v>458.58788320000002</v>
      </c>
      <c r="F841" s="4">
        <v>574.84542299999998</v>
      </c>
      <c r="G841" s="4">
        <v>279.1277485</v>
      </c>
      <c r="H841" s="4">
        <v>29.141574609999999</v>
      </c>
      <c r="I841" t="s">
        <v>16</v>
      </c>
      <c r="J841" s="1">
        <v>45777</v>
      </c>
      <c r="K841" s="4" t="str">
        <f>TRIM(CLEAN(Table1[[#This Row],[Region]]))</f>
        <v>West</v>
      </c>
    </row>
    <row r="842" spans="1:11" x14ac:dyDescent="0.3">
      <c r="A842" s="2">
        <v>852</v>
      </c>
      <c r="B842" t="s">
        <v>10</v>
      </c>
      <c r="C842" t="s">
        <v>19</v>
      </c>
      <c r="D842" s="4">
        <v>29.321452740000002</v>
      </c>
      <c r="E842" s="4">
        <v>580.58902290000003</v>
      </c>
      <c r="F842" s="4">
        <v>636.06322299999999</v>
      </c>
      <c r="G842" s="4">
        <v>187.12242140000001</v>
      </c>
      <c r="H842" s="4">
        <v>32.216190490000002</v>
      </c>
      <c r="I842" t="s">
        <v>20</v>
      </c>
      <c r="J842" s="1">
        <v>45778</v>
      </c>
      <c r="K842" s="4" t="str">
        <f>TRIM(CLEAN(Table1[[#This Row],[Region]]))</f>
        <v>West</v>
      </c>
    </row>
    <row r="843" spans="1:11" x14ac:dyDescent="0.3">
      <c r="A843" s="2">
        <v>853</v>
      </c>
      <c r="B843" t="s">
        <v>14</v>
      </c>
      <c r="C843" t="s">
        <v>17</v>
      </c>
      <c r="D843" s="4">
        <v>50.539879999999997</v>
      </c>
      <c r="E843" s="4">
        <v>622.38531990000001</v>
      </c>
      <c r="F843" s="4">
        <v>499.60865690000003</v>
      </c>
      <c r="G843" s="4">
        <v>233.1125093</v>
      </c>
      <c r="H843" s="4">
        <v>29.975974069999999</v>
      </c>
      <c r="I843" t="s">
        <v>20</v>
      </c>
      <c r="J843" s="1">
        <v>45779</v>
      </c>
      <c r="K843" s="4" t="str">
        <f>TRIM(CLEAN(Table1[[#This Row],[Region]]))</f>
        <v>North</v>
      </c>
    </row>
    <row r="844" spans="1:11" x14ac:dyDescent="0.3">
      <c r="A844" s="2">
        <v>854</v>
      </c>
      <c r="B844" t="s">
        <v>12</v>
      </c>
      <c r="C844" t="s">
        <v>19</v>
      </c>
      <c r="D844" s="4">
        <v>49.327962200000002</v>
      </c>
      <c r="E844" s="4">
        <v>513.68218300000001</v>
      </c>
      <c r="F844" s="4">
        <v>336.5251475</v>
      </c>
      <c r="G844" s="4">
        <v>153.48471509999999</v>
      </c>
      <c r="H844" s="4">
        <v>27.031192220000001</v>
      </c>
      <c r="I844" t="s">
        <v>16</v>
      </c>
      <c r="J844" s="1">
        <v>45780</v>
      </c>
      <c r="K844" s="4" t="str">
        <f>TRIM(CLEAN(Table1[[#This Row],[Region]]))</f>
        <v>South</v>
      </c>
    </row>
    <row r="845" spans="1:11" x14ac:dyDescent="0.3">
      <c r="A845" s="2">
        <v>855</v>
      </c>
      <c r="B845" t="s">
        <v>10</v>
      </c>
      <c r="C845" t="s">
        <v>19</v>
      </c>
      <c r="D845" s="4">
        <v>41.056673770000003</v>
      </c>
      <c r="E845" s="4">
        <v>381.56398280000002</v>
      </c>
      <c r="F845" s="4">
        <v>453.52287000000001</v>
      </c>
      <c r="G845" s="4">
        <v>197.15297709999999</v>
      </c>
      <c r="H845" s="4">
        <v>23.716763749999998</v>
      </c>
      <c r="I845" t="s">
        <v>20</v>
      </c>
      <c r="J845" s="1">
        <v>45781</v>
      </c>
      <c r="K845" s="4" t="str">
        <f>TRIM(CLEAN(Table1[[#This Row],[Region]]))</f>
        <v>West</v>
      </c>
    </row>
    <row r="846" spans="1:11" x14ac:dyDescent="0.3">
      <c r="A846" s="2">
        <v>857</v>
      </c>
      <c r="B846" t="s">
        <v>12</v>
      </c>
      <c r="C846" t="s">
        <v>11</v>
      </c>
      <c r="D846" s="4">
        <v>47.95064962</v>
      </c>
      <c r="E846" s="4">
        <v>670.26964880000003</v>
      </c>
      <c r="F846" s="4">
        <v>419.57950060000002</v>
      </c>
      <c r="G846" s="4">
        <v>166.23133809999999</v>
      </c>
      <c r="H846" s="4">
        <v>31.89416816</v>
      </c>
      <c r="I846" t="s">
        <v>18</v>
      </c>
      <c r="J846" s="1">
        <v>45783</v>
      </c>
      <c r="K846" s="4" t="str">
        <f>TRIM(CLEAN(Table1[[#This Row],[Region]]))</f>
        <v>South</v>
      </c>
    </row>
    <row r="847" spans="1:11" x14ac:dyDescent="0.3">
      <c r="A847" s="2">
        <v>858</v>
      </c>
      <c r="B847" t="s">
        <v>12</v>
      </c>
      <c r="C847" t="s">
        <v>19</v>
      </c>
      <c r="D847" s="4">
        <v>50.068682549999998</v>
      </c>
      <c r="E847" s="4">
        <v>492.52558320000003</v>
      </c>
      <c r="F847" s="4">
        <v>468.64514489999999</v>
      </c>
      <c r="G847" s="4">
        <v>257.76502060000001</v>
      </c>
      <c r="H847" s="4">
        <v>33.476886180000001</v>
      </c>
      <c r="I847" t="s">
        <v>18</v>
      </c>
      <c r="J847" s="1">
        <v>45784</v>
      </c>
      <c r="K847" s="4" t="str">
        <f>TRIM(CLEAN(Table1[[#This Row],[Region]]))</f>
        <v>South</v>
      </c>
    </row>
    <row r="848" spans="1:11" x14ac:dyDescent="0.3">
      <c r="A848" s="2">
        <v>859</v>
      </c>
      <c r="B848" t="s">
        <v>10</v>
      </c>
      <c r="C848" t="s">
        <v>20</v>
      </c>
      <c r="D848" s="4">
        <v>60.844795830000002</v>
      </c>
      <c r="E848" s="4">
        <v>167.524428</v>
      </c>
      <c r="F848" s="4">
        <v>463.90132290000003</v>
      </c>
      <c r="G848" s="4">
        <v>130.5561495</v>
      </c>
      <c r="H848" s="4">
        <v>39.56363425</v>
      </c>
      <c r="I848" t="s">
        <v>18</v>
      </c>
      <c r="J848" s="1">
        <v>45785</v>
      </c>
      <c r="K848" s="4" t="str">
        <f>TRIM(CLEAN(Table1[[#This Row],[Region]]))</f>
        <v>West</v>
      </c>
    </row>
    <row r="849" spans="1:11" x14ac:dyDescent="0.3">
      <c r="A849" s="2">
        <v>860</v>
      </c>
      <c r="B849" t="s">
        <v>12</v>
      </c>
      <c r="C849" t="s">
        <v>19</v>
      </c>
      <c r="D849" s="4">
        <v>88.16463272</v>
      </c>
      <c r="E849" s="4">
        <v>353.10765359999999</v>
      </c>
      <c r="F849" s="4">
        <v>529.45309929999996</v>
      </c>
      <c r="G849" s="4">
        <v>215.0028413</v>
      </c>
      <c r="H849" s="4">
        <v>19.13115548</v>
      </c>
      <c r="I849" t="s">
        <v>16</v>
      </c>
      <c r="J849" s="1">
        <v>45786</v>
      </c>
      <c r="K849" s="4" t="str">
        <f>TRIM(CLEAN(Table1[[#This Row],[Region]]))</f>
        <v>South</v>
      </c>
    </row>
    <row r="850" spans="1:11" x14ac:dyDescent="0.3">
      <c r="A850" s="2">
        <v>861</v>
      </c>
      <c r="B850" t="s">
        <v>10</v>
      </c>
      <c r="C850" t="s">
        <v>15</v>
      </c>
      <c r="D850" s="4">
        <v>54.801461359999998</v>
      </c>
      <c r="E850" s="4">
        <v>457.55512970000001</v>
      </c>
      <c r="F850" s="4">
        <v>546.87651530000005</v>
      </c>
      <c r="G850" s="4">
        <v>182.2439172</v>
      </c>
      <c r="H850" s="4">
        <v>29.661414010000001</v>
      </c>
      <c r="I850" t="s">
        <v>16</v>
      </c>
      <c r="J850" s="1">
        <v>45787</v>
      </c>
      <c r="K850" s="4" t="str">
        <f>TRIM(CLEAN(Table1[[#This Row],[Region]]))</f>
        <v>West</v>
      </c>
    </row>
    <row r="851" spans="1:11" x14ac:dyDescent="0.3">
      <c r="A851" s="2">
        <v>862</v>
      </c>
      <c r="B851" t="s">
        <v>10</v>
      </c>
      <c r="C851" t="s">
        <v>11</v>
      </c>
      <c r="D851" s="4">
        <v>77.308672329999993</v>
      </c>
      <c r="E851" s="4">
        <v>603.58252379999999</v>
      </c>
      <c r="F851" s="4">
        <v>463.90257880000001</v>
      </c>
      <c r="G851" s="4">
        <v>220.74122410000001</v>
      </c>
      <c r="H851" s="4">
        <v>35.95868918</v>
      </c>
      <c r="I851" t="s">
        <v>16</v>
      </c>
      <c r="J851" s="1">
        <v>45788</v>
      </c>
      <c r="K851" s="4" t="str">
        <f>TRIM(CLEAN(Table1[[#This Row],[Region]]))</f>
        <v>West</v>
      </c>
    </row>
    <row r="852" spans="1:11" x14ac:dyDescent="0.3">
      <c r="A852" s="2">
        <v>863</v>
      </c>
      <c r="B852" t="s">
        <v>14</v>
      </c>
      <c r="C852" t="s">
        <v>15</v>
      </c>
      <c r="D852" s="4">
        <v>53.773507029999998</v>
      </c>
      <c r="E852" s="4">
        <v>472.68776480000002</v>
      </c>
      <c r="F852" s="4">
        <v>528.41627019999999</v>
      </c>
      <c r="G852" s="4">
        <v>182.9211684</v>
      </c>
      <c r="H852" s="4">
        <v>29.377387880000001</v>
      </c>
      <c r="I852" t="s">
        <v>20</v>
      </c>
      <c r="J852" s="1">
        <v>45789</v>
      </c>
      <c r="K852" s="4" t="str">
        <f>TRIM(CLEAN(Table1[[#This Row],[Region]]))</f>
        <v>North</v>
      </c>
    </row>
    <row r="853" spans="1:11" x14ac:dyDescent="0.3">
      <c r="A853" s="2">
        <v>864</v>
      </c>
      <c r="B853" t="s">
        <v>14</v>
      </c>
      <c r="C853" t="s">
        <v>11</v>
      </c>
      <c r="D853" s="4">
        <v>48.195102110000001</v>
      </c>
      <c r="E853" s="4">
        <v>605.44316549999996</v>
      </c>
      <c r="F853" s="4">
        <v>414.07681739999998</v>
      </c>
      <c r="G853" s="4">
        <v>243.3596531</v>
      </c>
      <c r="H853" s="4">
        <v>18.30913773</v>
      </c>
      <c r="I853" t="s">
        <v>20</v>
      </c>
      <c r="J853" s="1">
        <v>45790</v>
      </c>
      <c r="K853" s="4" t="str">
        <f>TRIM(CLEAN(Table1[[#This Row],[Region]]))</f>
        <v>North</v>
      </c>
    </row>
    <row r="854" spans="1:11" x14ac:dyDescent="0.3">
      <c r="A854" s="2">
        <v>865</v>
      </c>
      <c r="B854" t="s">
        <v>10</v>
      </c>
      <c r="C854" t="s">
        <v>15</v>
      </c>
      <c r="D854" s="4">
        <v>42.208483479999998</v>
      </c>
      <c r="E854" s="4">
        <v>447.38376460000001</v>
      </c>
      <c r="F854" s="4">
        <v>637.77357910000001</v>
      </c>
      <c r="G854" s="4">
        <v>153.0148701</v>
      </c>
      <c r="H854" s="4">
        <v>23.544802130000001</v>
      </c>
      <c r="I854" t="s">
        <v>16</v>
      </c>
      <c r="J854" s="1">
        <v>45791</v>
      </c>
      <c r="K854" s="4" t="str">
        <f>TRIM(CLEAN(Table1[[#This Row],[Region]]))</f>
        <v>West</v>
      </c>
    </row>
    <row r="855" spans="1:11" x14ac:dyDescent="0.3">
      <c r="A855" s="2">
        <v>866</v>
      </c>
      <c r="B855" t="s">
        <v>13</v>
      </c>
      <c r="C855" t="s">
        <v>19</v>
      </c>
      <c r="D855" s="4">
        <v>48.05668455</v>
      </c>
      <c r="E855" s="4">
        <v>303.57074779999999</v>
      </c>
      <c r="F855" s="4">
        <v>412.13864539999997</v>
      </c>
      <c r="G855" s="4">
        <v>257.87765960000002</v>
      </c>
      <c r="H855" s="4">
        <v>31.642849250000001</v>
      </c>
      <c r="I855" t="s">
        <v>16</v>
      </c>
      <c r="J855" s="1">
        <v>45792</v>
      </c>
      <c r="K855" s="4" t="str">
        <f>TRIM(CLEAN(Table1[[#This Row],[Region]]))</f>
        <v>East</v>
      </c>
    </row>
    <row r="856" spans="1:11" x14ac:dyDescent="0.3">
      <c r="A856" s="2">
        <v>867</v>
      </c>
      <c r="B856" t="s">
        <v>21</v>
      </c>
      <c r="C856" t="s">
        <v>19</v>
      </c>
      <c r="D856" s="4">
        <v>205.68898279999999</v>
      </c>
      <c r="E856" s="4">
        <v>1803.3755369999999</v>
      </c>
      <c r="F856" s="4">
        <v>623.66237820000003</v>
      </c>
      <c r="G856" s="4">
        <v>198.55986530000001</v>
      </c>
      <c r="H856" s="4">
        <v>31.460986470000002</v>
      </c>
      <c r="I856" t="s">
        <v>18</v>
      </c>
      <c r="J856" s="1">
        <v>45793</v>
      </c>
      <c r="K856" s="4" t="str">
        <f>TRIM(CLEAN(Table1[[#This Row],[Region]]))</f>
        <v>South</v>
      </c>
    </row>
    <row r="857" spans="1:11" x14ac:dyDescent="0.3">
      <c r="A857" s="2">
        <v>868</v>
      </c>
      <c r="B857" t="s">
        <v>20</v>
      </c>
      <c r="C857" t="s">
        <v>19</v>
      </c>
      <c r="D857" s="4">
        <v>52.68661427</v>
      </c>
      <c r="E857" s="4">
        <v>534.49450019999995</v>
      </c>
      <c r="F857" s="4">
        <v>302.87194899999997</v>
      </c>
      <c r="G857" s="4">
        <v>133.5748735</v>
      </c>
      <c r="H857" s="4">
        <v>33.362598490000003</v>
      </c>
      <c r="I857" t="s">
        <v>16</v>
      </c>
      <c r="J857" s="1">
        <v>45794</v>
      </c>
      <c r="K857" s="4" t="str">
        <f>TRIM(CLEAN(Table1[[#This Row],[Region]]))</f>
        <v>Unknown</v>
      </c>
    </row>
    <row r="858" spans="1:11" x14ac:dyDescent="0.3">
      <c r="A858" s="2">
        <v>869</v>
      </c>
      <c r="B858" t="s">
        <v>14</v>
      </c>
      <c r="C858" t="s">
        <v>20</v>
      </c>
      <c r="D858" s="4">
        <v>156.0580889</v>
      </c>
      <c r="E858" s="4">
        <v>526.1950349</v>
      </c>
      <c r="F858" s="4">
        <v>434.35112909999998</v>
      </c>
      <c r="G858" s="4">
        <v>234.01077280000001</v>
      </c>
      <c r="H858" s="4">
        <v>26.094955280000001</v>
      </c>
      <c r="I858" t="s">
        <v>16</v>
      </c>
      <c r="J858" s="1">
        <v>45795</v>
      </c>
      <c r="K858" s="4" t="str">
        <f>TRIM(CLEAN(Table1[[#This Row],[Region]]))</f>
        <v>North</v>
      </c>
    </row>
    <row r="859" spans="1:11" x14ac:dyDescent="0.3">
      <c r="A859" s="2">
        <v>870</v>
      </c>
      <c r="B859" t="s">
        <v>14</v>
      </c>
      <c r="C859" t="s">
        <v>15</v>
      </c>
      <c r="D859" s="4">
        <v>28.377807789999999</v>
      </c>
      <c r="E859" s="4">
        <v>374.4892251</v>
      </c>
      <c r="F859" s="4">
        <v>440.2826192</v>
      </c>
      <c r="G859" s="4">
        <v>199.07849999999999</v>
      </c>
      <c r="H859" s="4">
        <v>31.299416170000001</v>
      </c>
      <c r="I859" t="s">
        <v>18</v>
      </c>
      <c r="J859" s="1">
        <v>45796</v>
      </c>
      <c r="K859" s="4" t="str">
        <f>TRIM(CLEAN(Table1[[#This Row],[Region]]))</f>
        <v>North</v>
      </c>
    </row>
    <row r="860" spans="1:11" x14ac:dyDescent="0.3">
      <c r="A860" s="2">
        <v>871</v>
      </c>
      <c r="B860" t="s">
        <v>14</v>
      </c>
      <c r="C860" t="s">
        <v>17</v>
      </c>
      <c r="D860" s="4">
        <v>49.814419940000001</v>
      </c>
      <c r="E860" s="4">
        <v>464.88037980000001</v>
      </c>
      <c r="F860" s="4">
        <v>513.47901539999998</v>
      </c>
      <c r="G860" s="4">
        <v>114.6081037</v>
      </c>
      <c r="H860" s="4">
        <v>25.270683460000001</v>
      </c>
      <c r="I860" t="s">
        <v>16</v>
      </c>
      <c r="J860" s="1">
        <v>45797</v>
      </c>
      <c r="K860" s="4" t="str">
        <f>TRIM(CLEAN(Table1[[#This Row],[Region]]))</f>
        <v>North</v>
      </c>
    </row>
    <row r="861" spans="1:11" x14ac:dyDescent="0.3">
      <c r="A861" s="2">
        <v>872</v>
      </c>
      <c r="B861" t="s">
        <v>14</v>
      </c>
      <c r="C861" t="s">
        <v>19</v>
      </c>
      <c r="D861" s="4">
        <v>60.761463130000003</v>
      </c>
      <c r="E861" s="4">
        <v>768.46742380000001</v>
      </c>
      <c r="F861" s="4">
        <v>583.41801640000006</v>
      </c>
      <c r="G861" s="4">
        <v>216.62340420000001</v>
      </c>
      <c r="H861" s="4">
        <v>31.299789969999999</v>
      </c>
      <c r="I861" t="s">
        <v>16</v>
      </c>
      <c r="J861" s="1">
        <v>45798</v>
      </c>
      <c r="K861" s="4" t="str">
        <f>TRIM(CLEAN(Table1[[#This Row],[Region]]))</f>
        <v>North</v>
      </c>
    </row>
    <row r="862" spans="1:11" x14ac:dyDescent="0.3">
      <c r="A862" s="2">
        <v>873</v>
      </c>
      <c r="B862" t="s">
        <v>10</v>
      </c>
      <c r="C862" t="s">
        <v>15</v>
      </c>
      <c r="D862" s="4">
        <v>46.008881479999999</v>
      </c>
      <c r="E862" s="4">
        <v>376.67311740000002</v>
      </c>
      <c r="F862" s="4">
        <v>330.07257559999999</v>
      </c>
      <c r="G862" s="4">
        <v>250.3297858</v>
      </c>
      <c r="H862" s="4">
        <v>30.26606099</v>
      </c>
      <c r="I862" t="s">
        <v>20</v>
      </c>
      <c r="J862" s="1">
        <v>45799</v>
      </c>
      <c r="K862" s="4" t="str">
        <f>TRIM(CLEAN(Table1[[#This Row],[Region]]))</f>
        <v>West</v>
      </c>
    </row>
    <row r="863" spans="1:11" x14ac:dyDescent="0.3">
      <c r="A863" s="2">
        <v>874</v>
      </c>
      <c r="B863" t="s">
        <v>14</v>
      </c>
      <c r="C863" t="s">
        <v>15</v>
      </c>
      <c r="D863" s="4">
        <v>43.471032280000003</v>
      </c>
      <c r="E863" s="4">
        <v>566.07233940000003</v>
      </c>
      <c r="F863" s="4">
        <v>347.042035</v>
      </c>
      <c r="G863" s="4">
        <v>264.106787</v>
      </c>
      <c r="H863" s="4">
        <v>25.8956999</v>
      </c>
      <c r="I863" t="s">
        <v>16</v>
      </c>
      <c r="J863" s="1">
        <v>45800</v>
      </c>
      <c r="K863" s="4" t="str">
        <f>TRIM(CLEAN(Table1[[#This Row],[Region]]))</f>
        <v>North</v>
      </c>
    </row>
    <row r="864" spans="1:11" x14ac:dyDescent="0.3">
      <c r="A864" s="2">
        <v>875</v>
      </c>
      <c r="B864" t="s">
        <v>10</v>
      </c>
      <c r="C864" t="s">
        <v>19</v>
      </c>
      <c r="D864" s="4">
        <v>36.222992269999999</v>
      </c>
      <c r="E864" s="4">
        <v>290.33243010000001</v>
      </c>
      <c r="F864" s="4">
        <v>311.77103190000003</v>
      </c>
      <c r="G864" s="4">
        <v>181.0824059</v>
      </c>
      <c r="H864" s="4">
        <v>37.790918150000003</v>
      </c>
      <c r="I864" t="s">
        <v>20</v>
      </c>
      <c r="J864" s="1">
        <v>45801</v>
      </c>
      <c r="K864" s="4" t="str">
        <f>TRIM(CLEAN(Table1[[#This Row],[Region]]))</f>
        <v>West</v>
      </c>
    </row>
    <row r="865" spans="1:11" x14ac:dyDescent="0.3">
      <c r="A865" s="2">
        <v>876</v>
      </c>
      <c r="B865" t="s">
        <v>14</v>
      </c>
      <c r="C865" t="s">
        <v>19</v>
      </c>
      <c r="D865" s="4">
        <v>31.420079579999999</v>
      </c>
      <c r="E865" s="4">
        <v>586.37918249999996</v>
      </c>
      <c r="F865" s="4">
        <v>638.42210369999998</v>
      </c>
      <c r="G865" s="4">
        <v>207.26590279999999</v>
      </c>
      <c r="H865" s="4">
        <v>21.47182025</v>
      </c>
      <c r="I865" t="s">
        <v>16</v>
      </c>
      <c r="J865" s="1">
        <v>45802</v>
      </c>
      <c r="K865" s="4" t="str">
        <f>TRIM(CLEAN(Table1[[#This Row],[Region]]))</f>
        <v>North</v>
      </c>
    </row>
    <row r="866" spans="1:11" x14ac:dyDescent="0.3">
      <c r="A866" s="2">
        <v>877</v>
      </c>
      <c r="B866" t="s">
        <v>14</v>
      </c>
      <c r="C866" t="s">
        <v>15</v>
      </c>
      <c r="D866" s="4">
        <v>58.313492670000002</v>
      </c>
      <c r="E866" s="4">
        <v>410.76746100000003</v>
      </c>
      <c r="F866" s="4">
        <v>515.71259310000005</v>
      </c>
      <c r="G866" s="4">
        <v>202.52681709999999</v>
      </c>
      <c r="H866" s="4">
        <v>29.29189508</v>
      </c>
      <c r="I866" t="s">
        <v>20</v>
      </c>
      <c r="J866" s="1">
        <v>45803</v>
      </c>
      <c r="K866" s="4" t="str">
        <f>TRIM(CLEAN(Table1[[#This Row],[Region]]))</f>
        <v>North</v>
      </c>
    </row>
    <row r="867" spans="1:11" x14ac:dyDescent="0.3">
      <c r="A867" s="2">
        <v>878</v>
      </c>
      <c r="B867" t="s">
        <v>21</v>
      </c>
      <c r="C867" t="s">
        <v>20</v>
      </c>
      <c r="D867" s="4">
        <v>48.185216699999998</v>
      </c>
      <c r="E867" s="4">
        <v>540.2088258</v>
      </c>
      <c r="F867" s="4">
        <v>349.87545499999999</v>
      </c>
      <c r="G867" s="4">
        <v>274.49013159999998</v>
      </c>
      <c r="H867" s="4">
        <v>25.785472179999999</v>
      </c>
      <c r="I867" t="s">
        <v>16</v>
      </c>
      <c r="J867" s="1">
        <v>45804</v>
      </c>
      <c r="K867" s="4" t="str">
        <f>TRIM(CLEAN(Table1[[#This Row],[Region]]))</f>
        <v>South</v>
      </c>
    </row>
    <row r="868" spans="1:11" x14ac:dyDescent="0.3">
      <c r="A868" s="2">
        <v>879</v>
      </c>
      <c r="B868" t="s">
        <v>13</v>
      </c>
      <c r="C868" t="s">
        <v>19</v>
      </c>
      <c r="D868" s="4">
        <v>57.720215619999998</v>
      </c>
      <c r="E868" s="4">
        <v>370.84743980000002</v>
      </c>
      <c r="F868" s="4">
        <v>426.82861509999998</v>
      </c>
      <c r="G868" s="4">
        <v>159.47557090000001</v>
      </c>
      <c r="H868" s="4">
        <v>39.171010180000003</v>
      </c>
      <c r="I868" t="s">
        <v>20</v>
      </c>
      <c r="J868" s="1">
        <v>45805</v>
      </c>
      <c r="K868" s="4" t="str">
        <f>TRIM(CLEAN(Table1[[#This Row],[Region]]))</f>
        <v>East</v>
      </c>
    </row>
    <row r="869" spans="1:11" x14ac:dyDescent="0.3">
      <c r="A869" s="2">
        <v>880</v>
      </c>
      <c r="B869" t="s">
        <v>14</v>
      </c>
      <c r="C869" t="s">
        <v>19</v>
      </c>
      <c r="D869" s="4">
        <v>65.313237450000003</v>
      </c>
      <c r="E869" s="4">
        <v>529.08528000000001</v>
      </c>
      <c r="F869" s="4">
        <v>621.81136749999996</v>
      </c>
      <c r="G869" s="4">
        <v>176.76702739999999</v>
      </c>
      <c r="H869" s="4">
        <v>32.991990039999997</v>
      </c>
      <c r="I869" t="s">
        <v>18</v>
      </c>
      <c r="J869" s="1">
        <v>45806</v>
      </c>
      <c r="K869" s="4" t="str">
        <f>TRIM(CLEAN(Table1[[#This Row],[Region]]))</f>
        <v>North</v>
      </c>
    </row>
    <row r="870" spans="1:11" x14ac:dyDescent="0.3">
      <c r="A870" s="2">
        <v>881</v>
      </c>
      <c r="B870" t="s">
        <v>21</v>
      </c>
      <c r="C870" t="s">
        <v>11</v>
      </c>
      <c r="D870" s="4">
        <v>59.212476850000002</v>
      </c>
      <c r="E870" s="4">
        <v>503.25760000000002</v>
      </c>
      <c r="F870" s="4">
        <v>446.62569239999999</v>
      </c>
      <c r="G870" s="4">
        <v>158.26398449999999</v>
      </c>
      <c r="H870" s="4">
        <v>26.753448120000002</v>
      </c>
      <c r="I870" t="s">
        <v>18</v>
      </c>
      <c r="J870" s="1">
        <v>45807</v>
      </c>
      <c r="K870" s="4" t="str">
        <f>TRIM(CLEAN(Table1[[#This Row],[Region]]))</f>
        <v>South</v>
      </c>
    </row>
    <row r="871" spans="1:11" x14ac:dyDescent="0.3">
      <c r="A871" s="2">
        <v>882</v>
      </c>
      <c r="B871" t="s">
        <v>12</v>
      </c>
      <c r="C871" t="s">
        <v>17</v>
      </c>
      <c r="D871" s="4">
        <v>44.576276790000001</v>
      </c>
      <c r="E871" s="4">
        <v>428.49518169999999</v>
      </c>
      <c r="F871" s="4">
        <v>439.53742349999999</v>
      </c>
      <c r="G871" s="4">
        <v>127.5424738</v>
      </c>
      <c r="H871" s="4">
        <v>28.60142355</v>
      </c>
      <c r="I871" t="s">
        <v>16</v>
      </c>
      <c r="J871" s="1">
        <v>45808</v>
      </c>
      <c r="K871" s="4" t="str">
        <f>TRIM(CLEAN(Table1[[#This Row],[Region]]))</f>
        <v>South</v>
      </c>
    </row>
    <row r="872" spans="1:11" x14ac:dyDescent="0.3">
      <c r="A872" s="2">
        <v>883</v>
      </c>
      <c r="B872" t="s">
        <v>13</v>
      </c>
      <c r="C872" t="s">
        <v>15</v>
      </c>
      <c r="D872" s="4">
        <v>51.448676650000003</v>
      </c>
      <c r="E872" s="4">
        <v>544.19860059999996</v>
      </c>
      <c r="F872" s="4">
        <v>386.24439519999999</v>
      </c>
      <c r="G872" s="4">
        <v>212.38935910000001</v>
      </c>
      <c r="H872" s="4">
        <v>39.306286870000001</v>
      </c>
      <c r="I872" t="s">
        <v>18</v>
      </c>
      <c r="J872" s="1">
        <v>45809</v>
      </c>
      <c r="K872" s="4" t="str">
        <f>TRIM(CLEAN(Table1[[#This Row],[Region]]))</f>
        <v>East</v>
      </c>
    </row>
    <row r="873" spans="1:11" x14ac:dyDescent="0.3">
      <c r="A873" s="2">
        <v>884</v>
      </c>
      <c r="B873" t="s">
        <v>14</v>
      </c>
      <c r="C873" t="s">
        <v>20</v>
      </c>
      <c r="D873" s="4">
        <v>43.852271350000002</v>
      </c>
      <c r="E873" s="4">
        <v>456.96145239999998</v>
      </c>
      <c r="F873" s="4">
        <v>357.00092230000001</v>
      </c>
      <c r="G873" s="4">
        <v>280.0649166</v>
      </c>
      <c r="H873" s="4">
        <v>25.268621840000002</v>
      </c>
      <c r="I873" t="s">
        <v>18</v>
      </c>
      <c r="J873" s="1">
        <v>45810</v>
      </c>
      <c r="K873" s="4" t="str">
        <f>TRIM(CLEAN(Table1[[#This Row],[Region]]))</f>
        <v>North</v>
      </c>
    </row>
    <row r="874" spans="1:11" x14ac:dyDescent="0.3">
      <c r="A874" s="2">
        <v>885</v>
      </c>
      <c r="B874" t="s">
        <v>20</v>
      </c>
      <c r="C874" t="s">
        <v>17</v>
      </c>
      <c r="D874" s="4">
        <v>42.917115369999998</v>
      </c>
      <c r="E874" s="4">
        <v>538.03814480000005</v>
      </c>
      <c r="F874" s="4">
        <v>621.99885730000005</v>
      </c>
      <c r="G874" s="4">
        <v>190.07577710000001</v>
      </c>
      <c r="H874" s="4">
        <v>21.177759139999999</v>
      </c>
      <c r="I874" t="s">
        <v>16</v>
      </c>
      <c r="J874" s="1">
        <v>45811</v>
      </c>
      <c r="K874" s="4" t="str">
        <f>TRIM(CLEAN(Table1[[#This Row],[Region]]))</f>
        <v>Unknown</v>
      </c>
    </row>
    <row r="875" spans="1:11" x14ac:dyDescent="0.3">
      <c r="A875" s="2">
        <v>886</v>
      </c>
      <c r="B875" t="s">
        <v>14</v>
      </c>
      <c r="C875" t="s">
        <v>19</v>
      </c>
      <c r="D875" s="4">
        <v>53.428151620000001</v>
      </c>
      <c r="E875" s="4">
        <v>480.91586810000001</v>
      </c>
      <c r="F875" s="4">
        <v>680.86819060000005</v>
      </c>
      <c r="G875" s="4">
        <v>155.90516890000001</v>
      </c>
      <c r="H875" s="4">
        <v>31.455034309999998</v>
      </c>
      <c r="I875" t="s">
        <v>18</v>
      </c>
      <c r="J875" s="1">
        <v>45812</v>
      </c>
      <c r="K875" s="4" t="str">
        <f>TRIM(CLEAN(Table1[[#This Row],[Region]]))</f>
        <v>North</v>
      </c>
    </row>
    <row r="876" spans="1:11" x14ac:dyDescent="0.3">
      <c r="A876" s="2">
        <v>887</v>
      </c>
      <c r="B876" t="s">
        <v>12</v>
      </c>
      <c r="C876" t="s">
        <v>15</v>
      </c>
      <c r="D876" s="4">
        <v>41.677061170000002</v>
      </c>
      <c r="E876" s="4">
        <v>506.74936810000003</v>
      </c>
      <c r="F876" s="4">
        <v>361.77667170000001</v>
      </c>
      <c r="G876" s="4">
        <v>209.34298509999999</v>
      </c>
      <c r="H876" s="4">
        <v>31.56820184</v>
      </c>
      <c r="I876" t="s">
        <v>18</v>
      </c>
      <c r="J876" s="1">
        <v>45813</v>
      </c>
      <c r="K876" s="4" t="str">
        <f>TRIM(CLEAN(Table1[[#This Row],[Region]]))</f>
        <v>South</v>
      </c>
    </row>
    <row r="877" spans="1:11" x14ac:dyDescent="0.3">
      <c r="A877" s="2">
        <v>888</v>
      </c>
      <c r="B877" t="s">
        <v>12</v>
      </c>
      <c r="C877" t="s">
        <v>19</v>
      </c>
      <c r="D877" s="4">
        <v>27.90848381</v>
      </c>
      <c r="E877" s="4">
        <v>544.50864709999996</v>
      </c>
      <c r="F877" s="4">
        <v>648.59307950000004</v>
      </c>
      <c r="G877" s="4">
        <v>229.4559089</v>
      </c>
      <c r="H877" s="4">
        <v>33.330172869999998</v>
      </c>
      <c r="I877" t="s">
        <v>18</v>
      </c>
      <c r="J877" s="1">
        <v>45814</v>
      </c>
      <c r="K877" s="4" t="str">
        <f>TRIM(CLEAN(Table1[[#This Row],[Region]]))</f>
        <v>South</v>
      </c>
    </row>
    <row r="878" spans="1:11" x14ac:dyDescent="0.3">
      <c r="A878" s="2">
        <v>889</v>
      </c>
      <c r="B878" t="s">
        <v>21</v>
      </c>
      <c r="C878" t="s">
        <v>11</v>
      </c>
      <c r="D878" s="4">
        <v>41.118521039999997</v>
      </c>
      <c r="E878" s="4">
        <v>464.9981545</v>
      </c>
      <c r="F878" s="4">
        <v>421.51326999999998</v>
      </c>
      <c r="G878" s="4">
        <v>192.18184310000001</v>
      </c>
      <c r="H878" s="4">
        <v>33.363128799999998</v>
      </c>
      <c r="I878" t="s">
        <v>16</v>
      </c>
      <c r="J878" s="1">
        <v>45815</v>
      </c>
      <c r="K878" s="4" t="str">
        <f>TRIM(CLEAN(Table1[[#This Row],[Region]]))</f>
        <v>South</v>
      </c>
    </row>
    <row r="879" spans="1:11" x14ac:dyDescent="0.3">
      <c r="A879" s="2">
        <v>890</v>
      </c>
      <c r="B879" t="s">
        <v>12</v>
      </c>
      <c r="C879" t="s">
        <v>19</v>
      </c>
      <c r="D879" s="4">
        <v>46.931188509999998</v>
      </c>
      <c r="E879" s="4">
        <v>400.39502140000002</v>
      </c>
      <c r="F879" s="4">
        <v>544.03775940000003</v>
      </c>
      <c r="G879" s="4">
        <v>270.17676660000001</v>
      </c>
      <c r="H879" s="4">
        <v>38.853528249999997</v>
      </c>
      <c r="I879" t="s">
        <v>20</v>
      </c>
      <c r="J879" s="1">
        <v>45816</v>
      </c>
      <c r="K879" s="4" t="str">
        <f>TRIM(CLEAN(Table1[[#This Row],[Region]]))</f>
        <v>South</v>
      </c>
    </row>
    <row r="880" spans="1:11" x14ac:dyDescent="0.3">
      <c r="A880" s="2">
        <v>891</v>
      </c>
      <c r="B880" t="s">
        <v>13</v>
      </c>
      <c r="C880" t="s">
        <v>15</v>
      </c>
      <c r="D880" s="4">
        <v>65.213984980000006</v>
      </c>
      <c r="E880" s="4">
        <v>503.25760000000002</v>
      </c>
      <c r="F880" s="4">
        <v>649.22565659999998</v>
      </c>
      <c r="G880" s="4">
        <v>159.3819053</v>
      </c>
      <c r="H880" s="4">
        <v>21.409312549999999</v>
      </c>
      <c r="I880" t="s">
        <v>18</v>
      </c>
      <c r="J880" s="1">
        <v>45817</v>
      </c>
      <c r="K880" s="4" t="str">
        <f>TRIM(CLEAN(Table1[[#This Row],[Region]]))</f>
        <v>East</v>
      </c>
    </row>
    <row r="881" spans="1:11" x14ac:dyDescent="0.3">
      <c r="A881" s="2">
        <v>892</v>
      </c>
      <c r="B881" t="s">
        <v>14</v>
      </c>
      <c r="C881" t="s">
        <v>11</v>
      </c>
      <c r="D881" s="4">
        <v>50.539879999999997</v>
      </c>
      <c r="E881" s="4">
        <v>619.51391799999999</v>
      </c>
      <c r="F881" s="4">
        <v>462.59080849999998</v>
      </c>
      <c r="G881" s="4">
        <v>185.6515182</v>
      </c>
      <c r="H881" s="4">
        <v>23.985984030000001</v>
      </c>
      <c r="I881" t="s">
        <v>20</v>
      </c>
      <c r="J881" s="1">
        <v>45818</v>
      </c>
      <c r="K881" s="4" t="str">
        <f>TRIM(CLEAN(Table1[[#This Row],[Region]]))</f>
        <v>North</v>
      </c>
    </row>
    <row r="882" spans="1:11" x14ac:dyDescent="0.3">
      <c r="A882" s="2">
        <v>893</v>
      </c>
      <c r="B882" t="s">
        <v>14</v>
      </c>
      <c r="C882" t="s">
        <v>11</v>
      </c>
      <c r="D882" s="4">
        <v>111.3872502</v>
      </c>
      <c r="E882" s="4">
        <v>511.61730840000001</v>
      </c>
      <c r="F882" s="4">
        <v>440.64696959999998</v>
      </c>
      <c r="G882" s="4">
        <v>214.79939519999999</v>
      </c>
      <c r="H882" s="4">
        <v>33.311016670000001</v>
      </c>
      <c r="I882" t="s">
        <v>20</v>
      </c>
      <c r="J882" s="1">
        <v>45819</v>
      </c>
      <c r="K882" s="4" t="str">
        <f>TRIM(CLEAN(Table1[[#This Row],[Region]]))</f>
        <v>North</v>
      </c>
    </row>
    <row r="883" spans="1:11" x14ac:dyDescent="0.3">
      <c r="A883" s="2">
        <v>894</v>
      </c>
      <c r="B883" t="s">
        <v>20</v>
      </c>
      <c r="C883" t="s">
        <v>15</v>
      </c>
      <c r="D883" s="4">
        <v>48.316917660000001</v>
      </c>
      <c r="E883" s="4">
        <v>415.51015469999999</v>
      </c>
      <c r="F883" s="4">
        <v>576.12971570000002</v>
      </c>
      <c r="G883" s="4">
        <v>219.6481876</v>
      </c>
      <c r="H883" s="4">
        <v>24.471872489999999</v>
      </c>
      <c r="I883" t="s">
        <v>20</v>
      </c>
      <c r="J883" s="1">
        <v>45820</v>
      </c>
      <c r="K883" s="4" t="str">
        <f>TRIM(CLEAN(Table1[[#This Row],[Region]]))</f>
        <v>Unknown</v>
      </c>
    </row>
    <row r="884" spans="1:11" x14ac:dyDescent="0.3">
      <c r="A884" s="2">
        <v>895</v>
      </c>
      <c r="B884" t="s">
        <v>14</v>
      </c>
      <c r="C884" t="s">
        <v>19</v>
      </c>
      <c r="D884" s="4">
        <v>62.264051440000003</v>
      </c>
      <c r="E884" s="4">
        <v>540.15606079999998</v>
      </c>
      <c r="F884" s="4">
        <v>346.80565960000001</v>
      </c>
      <c r="G884" s="4">
        <v>202.36140459999999</v>
      </c>
      <c r="H884" s="4">
        <v>22.71706013</v>
      </c>
      <c r="I884" t="s">
        <v>18</v>
      </c>
      <c r="J884" s="1">
        <v>45821</v>
      </c>
      <c r="K884" s="4" t="str">
        <f>TRIM(CLEAN(Table1[[#This Row],[Region]]))</f>
        <v>North</v>
      </c>
    </row>
    <row r="885" spans="1:11" x14ac:dyDescent="0.3">
      <c r="A885" s="2">
        <v>896</v>
      </c>
      <c r="B885" t="s">
        <v>21</v>
      </c>
      <c r="C885" t="s">
        <v>20</v>
      </c>
      <c r="D885" s="4">
        <v>61.570963849999998</v>
      </c>
      <c r="E885" s="4">
        <v>546.83155850000003</v>
      </c>
      <c r="F885" s="4">
        <v>617.64736530000005</v>
      </c>
      <c r="G885" s="4">
        <v>136.0790039</v>
      </c>
      <c r="H885" s="4">
        <v>39.32922276</v>
      </c>
      <c r="I885" t="s">
        <v>20</v>
      </c>
      <c r="J885" s="1">
        <v>45822</v>
      </c>
      <c r="K885" s="4" t="str">
        <f>TRIM(CLEAN(Table1[[#This Row],[Region]]))</f>
        <v>South</v>
      </c>
    </row>
    <row r="886" spans="1:11" x14ac:dyDescent="0.3">
      <c r="A886" s="2">
        <v>897</v>
      </c>
      <c r="B886" t="s">
        <v>14</v>
      </c>
      <c r="C886" t="s">
        <v>11</v>
      </c>
      <c r="D886" s="4">
        <v>61.761751050000001</v>
      </c>
      <c r="E886" s="4">
        <v>551.99990760000003</v>
      </c>
      <c r="F886" s="4">
        <v>497.13712709999999</v>
      </c>
      <c r="G886" s="4">
        <v>316.9005702</v>
      </c>
      <c r="H886" s="4">
        <v>21.90028934</v>
      </c>
      <c r="I886" t="s">
        <v>16</v>
      </c>
      <c r="J886" s="1">
        <v>45823</v>
      </c>
      <c r="K886" s="4" t="str">
        <f>TRIM(CLEAN(Table1[[#This Row],[Region]]))</f>
        <v>North</v>
      </c>
    </row>
    <row r="887" spans="1:11" x14ac:dyDescent="0.3">
      <c r="A887" s="2">
        <v>899</v>
      </c>
      <c r="B887" t="s">
        <v>20</v>
      </c>
      <c r="C887" t="s">
        <v>11</v>
      </c>
      <c r="D887" s="4">
        <v>52.067240470000002</v>
      </c>
      <c r="E887" s="4">
        <v>431.76090060000001</v>
      </c>
      <c r="F887" s="4">
        <v>407.49988760000002</v>
      </c>
      <c r="G887" s="4">
        <v>205.5133759</v>
      </c>
      <c r="H887" s="4">
        <v>29.70316274</v>
      </c>
      <c r="I887" t="s">
        <v>18</v>
      </c>
      <c r="J887" s="1">
        <v>45825</v>
      </c>
      <c r="K887" s="4" t="str">
        <f>TRIM(CLEAN(Table1[[#This Row],[Region]]))</f>
        <v>Unknown</v>
      </c>
    </row>
    <row r="888" spans="1:11" x14ac:dyDescent="0.3">
      <c r="A888" s="2">
        <v>900</v>
      </c>
      <c r="B888" t="s">
        <v>14</v>
      </c>
      <c r="C888" t="s">
        <v>20</v>
      </c>
      <c r="D888" s="4">
        <v>57.589385999999998</v>
      </c>
      <c r="E888" s="4">
        <v>432.31707840000001</v>
      </c>
      <c r="F888" s="4">
        <v>313.98449859999999</v>
      </c>
      <c r="G888" s="4">
        <v>230.83805469999999</v>
      </c>
      <c r="H888" s="4">
        <v>36.54568321</v>
      </c>
      <c r="I888" t="s">
        <v>18</v>
      </c>
      <c r="J888" s="1">
        <v>45826</v>
      </c>
      <c r="K888" s="4" t="str">
        <f>TRIM(CLEAN(Table1[[#This Row],[Region]]))</f>
        <v>North</v>
      </c>
    </row>
    <row r="889" spans="1:11" x14ac:dyDescent="0.3">
      <c r="A889" s="2">
        <v>901</v>
      </c>
      <c r="B889" t="s">
        <v>13</v>
      </c>
      <c r="C889" t="s">
        <v>19</v>
      </c>
      <c r="D889" s="4">
        <v>53.815385630000002</v>
      </c>
      <c r="E889" s="4">
        <v>463.9352088</v>
      </c>
      <c r="F889" s="4">
        <v>415.65933999999999</v>
      </c>
      <c r="G889" s="4">
        <v>168.17473190000001</v>
      </c>
      <c r="H889" s="4">
        <v>20.655984709999998</v>
      </c>
      <c r="I889" t="s">
        <v>16</v>
      </c>
      <c r="J889" s="1">
        <v>45827</v>
      </c>
      <c r="K889" s="4" t="str">
        <f>TRIM(CLEAN(Table1[[#This Row],[Region]]))</f>
        <v>East</v>
      </c>
    </row>
    <row r="890" spans="1:11" x14ac:dyDescent="0.3">
      <c r="A890" s="2">
        <v>902</v>
      </c>
      <c r="B890" t="s">
        <v>14</v>
      </c>
      <c r="C890" t="s">
        <v>19</v>
      </c>
      <c r="D890" s="4">
        <v>56.365963260000001</v>
      </c>
      <c r="E890" s="4">
        <v>553.89191849999997</v>
      </c>
      <c r="F890" s="4">
        <v>448.31546859999997</v>
      </c>
      <c r="G890" s="4">
        <v>202.84632099999999</v>
      </c>
      <c r="H890" s="4">
        <v>32.077375760000002</v>
      </c>
      <c r="I890" t="s">
        <v>16</v>
      </c>
      <c r="J890" s="1">
        <v>45828</v>
      </c>
      <c r="K890" s="4" t="str">
        <f>TRIM(CLEAN(Table1[[#This Row],[Region]]))</f>
        <v>North</v>
      </c>
    </row>
    <row r="891" spans="1:11" x14ac:dyDescent="0.3">
      <c r="A891" s="2">
        <v>903</v>
      </c>
      <c r="B891" t="s">
        <v>12</v>
      </c>
      <c r="C891" t="s">
        <v>17</v>
      </c>
      <c r="D891" s="4">
        <v>50.58351004</v>
      </c>
      <c r="E891" s="4">
        <v>529.61848050000003</v>
      </c>
      <c r="F891" s="4">
        <v>352.64477620000002</v>
      </c>
      <c r="G891" s="4">
        <v>166.1404881</v>
      </c>
      <c r="H891" s="4">
        <v>25.54811471</v>
      </c>
      <c r="I891" t="s">
        <v>16</v>
      </c>
      <c r="J891" s="1">
        <v>45829</v>
      </c>
      <c r="K891" s="4" t="str">
        <f>TRIM(CLEAN(Table1[[#This Row],[Region]]))</f>
        <v>South</v>
      </c>
    </row>
    <row r="892" spans="1:11" x14ac:dyDescent="0.3">
      <c r="A892" s="2">
        <v>904</v>
      </c>
      <c r="B892" t="s">
        <v>20</v>
      </c>
      <c r="C892" t="s">
        <v>11</v>
      </c>
      <c r="D892" s="4">
        <v>94.099605359999998</v>
      </c>
      <c r="E892" s="4">
        <v>537.52169570000001</v>
      </c>
      <c r="F892" s="4">
        <v>474.54420290000002</v>
      </c>
      <c r="G892" s="4">
        <v>220.77753709999999</v>
      </c>
      <c r="H892" s="4">
        <v>33.138056059999997</v>
      </c>
      <c r="I892" t="s">
        <v>20</v>
      </c>
      <c r="J892" s="1">
        <v>45830</v>
      </c>
      <c r="K892" s="4" t="str">
        <f>TRIM(CLEAN(Table1[[#This Row],[Region]]))</f>
        <v>Unknown</v>
      </c>
    </row>
    <row r="893" spans="1:11" x14ac:dyDescent="0.3">
      <c r="A893" s="2">
        <v>905</v>
      </c>
      <c r="B893" t="s">
        <v>14</v>
      </c>
      <c r="C893" t="s">
        <v>19</v>
      </c>
      <c r="D893" s="4">
        <v>33.02902615</v>
      </c>
      <c r="E893" s="4">
        <v>635.40191419999996</v>
      </c>
      <c r="F893" s="4">
        <v>536.75005009999995</v>
      </c>
      <c r="G893" s="4">
        <v>186.1988676</v>
      </c>
      <c r="H893" s="4">
        <v>25.465961369999999</v>
      </c>
      <c r="I893" t="s">
        <v>20</v>
      </c>
      <c r="J893" s="1">
        <v>45831</v>
      </c>
      <c r="K893" s="4" t="str">
        <f>TRIM(CLEAN(Table1[[#This Row],[Region]]))</f>
        <v>North</v>
      </c>
    </row>
    <row r="894" spans="1:11" x14ac:dyDescent="0.3">
      <c r="A894" s="2">
        <v>906</v>
      </c>
      <c r="B894" t="s">
        <v>21</v>
      </c>
      <c r="C894" t="s">
        <v>20</v>
      </c>
      <c r="D894" s="4">
        <v>43.544305710000003</v>
      </c>
      <c r="E894" s="4">
        <v>568.88909320000005</v>
      </c>
      <c r="F894" s="4">
        <v>454.38334370000001</v>
      </c>
      <c r="G894" s="4">
        <v>213.4359264</v>
      </c>
      <c r="H894" s="4">
        <v>37.861531280000001</v>
      </c>
      <c r="I894" t="s">
        <v>18</v>
      </c>
      <c r="J894" s="1">
        <v>45832</v>
      </c>
      <c r="K894" s="4" t="str">
        <f>TRIM(CLEAN(Table1[[#This Row],[Region]]))</f>
        <v>South</v>
      </c>
    </row>
    <row r="895" spans="1:11" x14ac:dyDescent="0.3">
      <c r="A895" s="2">
        <v>907</v>
      </c>
      <c r="B895" t="s">
        <v>13</v>
      </c>
      <c r="C895" t="s">
        <v>15</v>
      </c>
      <c r="D895" s="4">
        <v>76.781098740000004</v>
      </c>
      <c r="E895" s="4">
        <v>485.81983750000001</v>
      </c>
      <c r="F895" s="4">
        <v>559.52709919999995</v>
      </c>
      <c r="G895" s="4">
        <v>147.6731327</v>
      </c>
      <c r="H895" s="4">
        <v>25.495149909999999</v>
      </c>
      <c r="I895" t="s">
        <v>20</v>
      </c>
      <c r="J895" s="1">
        <v>45833</v>
      </c>
      <c r="K895" s="4" t="str">
        <f>TRIM(CLEAN(Table1[[#This Row],[Region]]))</f>
        <v>East</v>
      </c>
    </row>
    <row r="896" spans="1:11" x14ac:dyDescent="0.3">
      <c r="A896" s="2">
        <v>908</v>
      </c>
      <c r="B896" t="s">
        <v>13</v>
      </c>
      <c r="C896" t="s">
        <v>19</v>
      </c>
      <c r="D896" s="4">
        <v>45.143488240000003</v>
      </c>
      <c r="E896" s="4">
        <v>381.6114824</v>
      </c>
      <c r="F896" s="4">
        <v>383.14320199999997</v>
      </c>
      <c r="G896" s="4">
        <v>158.55417829999999</v>
      </c>
      <c r="H896" s="4">
        <v>17.690101469999998</v>
      </c>
      <c r="I896" t="s">
        <v>20</v>
      </c>
      <c r="J896" s="1">
        <v>45834</v>
      </c>
      <c r="K896" s="4" t="str">
        <f>TRIM(CLEAN(Table1[[#This Row],[Region]]))</f>
        <v>East</v>
      </c>
    </row>
    <row r="897" spans="1:11" x14ac:dyDescent="0.3">
      <c r="A897" s="2">
        <v>909</v>
      </c>
      <c r="B897" t="s">
        <v>14</v>
      </c>
      <c r="C897" t="s">
        <v>19</v>
      </c>
      <c r="D897" s="4">
        <v>30.40609774</v>
      </c>
      <c r="E897" s="4">
        <v>428.54529919999999</v>
      </c>
      <c r="F897" s="4">
        <v>600.4059317</v>
      </c>
      <c r="G897" s="4">
        <v>131.74296620000001</v>
      </c>
      <c r="H897" s="4">
        <v>26.055753750000001</v>
      </c>
      <c r="I897" t="s">
        <v>20</v>
      </c>
      <c r="J897" s="1">
        <v>45835</v>
      </c>
      <c r="K897" s="4" t="str">
        <f>TRIM(CLEAN(Table1[[#This Row],[Region]]))</f>
        <v>North</v>
      </c>
    </row>
    <row r="898" spans="1:11" x14ac:dyDescent="0.3">
      <c r="A898" s="2">
        <v>910</v>
      </c>
      <c r="B898" t="s">
        <v>14</v>
      </c>
      <c r="C898" t="s">
        <v>19</v>
      </c>
      <c r="D898" s="4">
        <v>57.32649361</v>
      </c>
      <c r="E898" s="4">
        <v>473.8294932</v>
      </c>
      <c r="F898" s="4">
        <v>494.61776470000001</v>
      </c>
      <c r="G898" s="4">
        <v>164.47349600000001</v>
      </c>
      <c r="H898" s="4">
        <v>28.693499450000001</v>
      </c>
      <c r="I898" t="s">
        <v>18</v>
      </c>
      <c r="J898" s="1">
        <v>45836</v>
      </c>
      <c r="K898" s="4" t="str">
        <f>TRIM(CLEAN(Table1[[#This Row],[Region]]))</f>
        <v>North</v>
      </c>
    </row>
    <row r="899" spans="1:11" x14ac:dyDescent="0.3">
      <c r="A899" s="2">
        <v>911</v>
      </c>
      <c r="B899" t="s">
        <v>14</v>
      </c>
      <c r="C899" t="s">
        <v>11</v>
      </c>
      <c r="D899" s="4">
        <v>58.554600090000001</v>
      </c>
      <c r="E899" s="4">
        <v>582.91298270000004</v>
      </c>
      <c r="F899" s="4">
        <v>665.43086040000003</v>
      </c>
      <c r="G899" s="4">
        <v>71.323787820000007</v>
      </c>
      <c r="H899" s="4">
        <v>35.411769370000002</v>
      </c>
      <c r="I899" t="s">
        <v>18</v>
      </c>
      <c r="J899" s="1">
        <v>45837</v>
      </c>
      <c r="K899" s="4" t="str">
        <f>TRIM(CLEAN(Table1[[#This Row],[Region]]))</f>
        <v>North</v>
      </c>
    </row>
    <row r="900" spans="1:11" x14ac:dyDescent="0.3">
      <c r="A900" s="2">
        <v>912</v>
      </c>
      <c r="B900" t="s">
        <v>12</v>
      </c>
      <c r="C900" t="s">
        <v>17</v>
      </c>
      <c r="D900" s="4">
        <v>62.873243899999999</v>
      </c>
      <c r="E900" s="4">
        <v>497.2668066</v>
      </c>
      <c r="F900" s="4">
        <v>769.70607749999999</v>
      </c>
      <c r="G900" s="4">
        <v>184.6449897</v>
      </c>
      <c r="H900" s="4">
        <v>23.707925849999999</v>
      </c>
      <c r="I900" t="s">
        <v>16</v>
      </c>
      <c r="J900" s="1">
        <v>45838</v>
      </c>
      <c r="K900" s="4" t="str">
        <f>TRIM(CLEAN(Table1[[#This Row],[Region]]))</f>
        <v>South</v>
      </c>
    </row>
    <row r="901" spans="1:11" x14ac:dyDescent="0.3">
      <c r="A901" s="2">
        <v>913</v>
      </c>
      <c r="B901" t="s">
        <v>14</v>
      </c>
      <c r="C901" t="s">
        <v>19</v>
      </c>
      <c r="D901" s="4">
        <v>142.59095429999999</v>
      </c>
      <c r="E901" s="4">
        <v>434.3804045</v>
      </c>
      <c r="F901" s="4">
        <v>423.57076890000002</v>
      </c>
      <c r="G901" s="4">
        <v>173.28798639999999</v>
      </c>
      <c r="H901" s="4">
        <v>23.806769360000001</v>
      </c>
      <c r="I901" t="s">
        <v>16</v>
      </c>
      <c r="J901" s="1">
        <v>45839</v>
      </c>
      <c r="K901" s="4" t="str">
        <f>TRIM(CLEAN(Table1[[#This Row],[Region]]))</f>
        <v>North</v>
      </c>
    </row>
    <row r="902" spans="1:11" x14ac:dyDescent="0.3">
      <c r="A902" s="2">
        <v>914</v>
      </c>
      <c r="B902" t="s">
        <v>13</v>
      </c>
      <c r="C902" t="s">
        <v>15</v>
      </c>
      <c r="D902" s="4">
        <v>58.456015139999998</v>
      </c>
      <c r="E902" s="4">
        <v>426.71071139999998</v>
      </c>
      <c r="F902" s="4">
        <v>428.51233480000002</v>
      </c>
      <c r="G902" s="4">
        <v>207.54554820000001</v>
      </c>
      <c r="H902" s="4">
        <v>34.802889520000001</v>
      </c>
      <c r="I902" t="s">
        <v>16</v>
      </c>
      <c r="J902" s="1">
        <v>45840</v>
      </c>
      <c r="K902" s="4" t="str">
        <f>TRIM(CLEAN(Table1[[#This Row],[Region]]))</f>
        <v>East</v>
      </c>
    </row>
    <row r="903" spans="1:11" x14ac:dyDescent="0.3">
      <c r="A903" s="2">
        <v>915</v>
      </c>
      <c r="B903" t="s">
        <v>20</v>
      </c>
      <c r="C903" t="s">
        <v>20</v>
      </c>
      <c r="D903" s="4">
        <v>68.402171350000003</v>
      </c>
      <c r="E903" s="4">
        <v>493.0421791</v>
      </c>
      <c r="F903" s="4">
        <v>450.45094540000002</v>
      </c>
      <c r="G903" s="4">
        <v>202.2303862</v>
      </c>
      <c r="H903" s="4">
        <v>23.123874409999999</v>
      </c>
      <c r="I903" t="s">
        <v>16</v>
      </c>
      <c r="J903" s="1">
        <v>45841</v>
      </c>
      <c r="K903" s="4" t="str">
        <f>TRIM(CLEAN(Table1[[#This Row],[Region]]))</f>
        <v>Unknown</v>
      </c>
    </row>
    <row r="904" spans="1:11" x14ac:dyDescent="0.3">
      <c r="A904" s="2">
        <v>916</v>
      </c>
      <c r="B904" t="s">
        <v>14</v>
      </c>
      <c r="C904" t="s">
        <v>15</v>
      </c>
      <c r="D904" s="4">
        <v>42.54526508</v>
      </c>
      <c r="E904" s="4">
        <v>588.9987562</v>
      </c>
      <c r="F904" s="4">
        <v>551.48427000000004</v>
      </c>
      <c r="G904" s="4">
        <v>262.85398839999999</v>
      </c>
      <c r="H904" s="4">
        <v>29.105082790000001</v>
      </c>
      <c r="I904" t="s">
        <v>16</v>
      </c>
      <c r="J904" s="1">
        <v>45842</v>
      </c>
      <c r="K904" s="4" t="str">
        <f>TRIM(CLEAN(Table1[[#This Row],[Region]]))</f>
        <v>North</v>
      </c>
    </row>
    <row r="905" spans="1:11" x14ac:dyDescent="0.3">
      <c r="A905" s="2">
        <v>917</v>
      </c>
      <c r="B905" t="s">
        <v>14</v>
      </c>
      <c r="C905" t="s">
        <v>20</v>
      </c>
      <c r="D905" s="4">
        <v>40.561492950000002</v>
      </c>
      <c r="E905" s="4">
        <v>659.10193059999995</v>
      </c>
      <c r="F905" s="4">
        <v>639.11639649999995</v>
      </c>
      <c r="G905" s="4">
        <v>329.71550919999999</v>
      </c>
      <c r="H905" s="4">
        <v>29.20674408</v>
      </c>
      <c r="I905" t="s">
        <v>16</v>
      </c>
      <c r="J905" s="1">
        <v>45843</v>
      </c>
      <c r="K905" s="4" t="str">
        <f>TRIM(CLEAN(Table1[[#This Row],[Region]]))</f>
        <v>North</v>
      </c>
    </row>
    <row r="906" spans="1:11" x14ac:dyDescent="0.3">
      <c r="A906" s="2">
        <v>919</v>
      </c>
      <c r="B906" t="s">
        <v>21</v>
      </c>
      <c r="C906" t="s">
        <v>19</v>
      </c>
      <c r="D906" s="4">
        <v>47.342304140000003</v>
      </c>
      <c r="E906" s="4">
        <v>495.5256819</v>
      </c>
      <c r="F906" s="4">
        <v>525.74931200000003</v>
      </c>
      <c r="G906" s="4">
        <v>177.34462049999999</v>
      </c>
      <c r="H906" s="4">
        <v>26.250758950000002</v>
      </c>
      <c r="I906" t="s">
        <v>16</v>
      </c>
      <c r="J906" s="1">
        <v>45845</v>
      </c>
      <c r="K906" s="4" t="str">
        <f>TRIM(CLEAN(Table1[[#This Row],[Region]]))</f>
        <v>South</v>
      </c>
    </row>
    <row r="907" spans="1:11" x14ac:dyDescent="0.3">
      <c r="A907" s="2">
        <v>920</v>
      </c>
      <c r="B907" t="s">
        <v>10</v>
      </c>
      <c r="C907" t="s">
        <v>11</v>
      </c>
      <c r="D907" s="4">
        <v>64.334224199999994</v>
      </c>
      <c r="E907" s="4">
        <v>378.6058294</v>
      </c>
      <c r="F907" s="4">
        <v>463.68872520000002</v>
      </c>
      <c r="G907" s="4">
        <v>175.33046250000001</v>
      </c>
      <c r="H907" s="4">
        <v>25.365028070000001</v>
      </c>
      <c r="I907" t="s">
        <v>18</v>
      </c>
      <c r="J907" s="1">
        <v>45846</v>
      </c>
      <c r="K907" s="4" t="str">
        <f>TRIM(CLEAN(Table1[[#This Row],[Region]]))</f>
        <v>West</v>
      </c>
    </row>
    <row r="908" spans="1:11" x14ac:dyDescent="0.3">
      <c r="A908" s="2">
        <v>921</v>
      </c>
      <c r="B908" t="s">
        <v>14</v>
      </c>
      <c r="C908" t="s">
        <v>17</v>
      </c>
      <c r="D908" s="4">
        <v>55.280683680000003</v>
      </c>
      <c r="E908" s="4">
        <v>693.91925690000005</v>
      </c>
      <c r="F908" s="4">
        <v>554.17309230000001</v>
      </c>
      <c r="G908" s="4">
        <v>243.4331521</v>
      </c>
      <c r="H908" s="4">
        <v>31.674472210000001</v>
      </c>
      <c r="I908" t="s">
        <v>16</v>
      </c>
      <c r="J908" s="1">
        <v>45847</v>
      </c>
      <c r="K908" s="4" t="str">
        <f>TRIM(CLEAN(Table1[[#This Row],[Region]]))</f>
        <v>North</v>
      </c>
    </row>
    <row r="909" spans="1:11" x14ac:dyDescent="0.3">
      <c r="A909" s="2">
        <v>922</v>
      </c>
      <c r="B909" t="s">
        <v>14</v>
      </c>
      <c r="C909" t="s">
        <v>17</v>
      </c>
      <c r="D909" s="4">
        <v>54.88691953</v>
      </c>
      <c r="E909" s="4">
        <v>359.8997162</v>
      </c>
      <c r="F909" s="4">
        <v>661.1349232</v>
      </c>
      <c r="G909" s="4">
        <v>115.83276530000001</v>
      </c>
      <c r="H909" s="4">
        <v>25.520020729999999</v>
      </c>
      <c r="I909" t="s">
        <v>18</v>
      </c>
      <c r="J909" s="1">
        <v>45848</v>
      </c>
      <c r="K909" s="4" t="str">
        <f>TRIM(CLEAN(Table1[[#This Row],[Region]]))</f>
        <v>North</v>
      </c>
    </row>
    <row r="910" spans="1:11" x14ac:dyDescent="0.3">
      <c r="A910" s="2">
        <v>923</v>
      </c>
      <c r="B910" t="s">
        <v>20</v>
      </c>
      <c r="C910" t="s">
        <v>20</v>
      </c>
      <c r="D910" s="4">
        <v>31.80692071</v>
      </c>
      <c r="E910" s="4">
        <v>617.16623119999997</v>
      </c>
      <c r="F910" s="4">
        <v>451.16061150000002</v>
      </c>
      <c r="G910" s="4">
        <v>184.2398537</v>
      </c>
      <c r="H910" s="4">
        <v>23.200154049999998</v>
      </c>
      <c r="I910" t="s">
        <v>18</v>
      </c>
      <c r="J910" s="1">
        <v>45849</v>
      </c>
      <c r="K910" s="4" t="str">
        <f>TRIM(CLEAN(Table1[[#This Row],[Region]]))</f>
        <v>Unknown</v>
      </c>
    </row>
    <row r="911" spans="1:11" x14ac:dyDescent="0.3">
      <c r="A911" s="2">
        <v>924</v>
      </c>
      <c r="B911" t="s">
        <v>14</v>
      </c>
      <c r="C911" t="s">
        <v>19</v>
      </c>
      <c r="D911" s="4">
        <v>43.068131729999998</v>
      </c>
      <c r="E911" s="4">
        <v>463.4664047</v>
      </c>
      <c r="F911" s="4">
        <v>279.61588</v>
      </c>
      <c r="G911" s="4">
        <v>188.09235319999999</v>
      </c>
      <c r="H911" s="4">
        <v>36.138999939999998</v>
      </c>
      <c r="I911" t="s">
        <v>20</v>
      </c>
      <c r="J911" s="1">
        <v>45850</v>
      </c>
      <c r="K911" s="4" t="str">
        <f>TRIM(CLEAN(Table1[[#This Row],[Region]]))</f>
        <v>North</v>
      </c>
    </row>
    <row r="912" spans="1:11" x14ac:dyDescent="0.3">
      <c r="A912" s="2">
        <v>925</v>
      </c>
      <c r="B912" t="s">
        <v>21</v>
      </c>
      <c r="C912" t="s">
        <v>19</v>
      </c>
      <c r="D912" s="4">
        <v>31.643423670000001</v>
      </c>
      <c r="E912" s="4">
        <v>440.06335059999998</v>
      </c>
      <c r="F912" s="4">
        <v>569.26820120000002</v>
      </c>
      <c r="G912" s="4">
        <v>229.20657420000001</v>
      </c>
      <c r="H912" s="4">
        <v>32.440476910000001</v>
      </c>
      <c r="I912" t="s">
        <v>18</v>
      </c>
      <c r="J912" s="1">
        <v>45851</v>
      </c>
      <c r="K912" s="4" t="str">
        <f>TRIM(CLEAN(Table1[[#This Row],[Region]]))</f>
        <v>South</v>
      </c>
    </row>
    <row r="913" spans="1:11" x14ac:dyDescent="0.3">
      <c r="A913" s="2">
        <v>926</v>
      </c>
      <c r="B913" t="s">
        <v>13</v>
      </c>
      <c r="C913" t="s">
        <v>20</v>
      </c>
      <c r="D913" s="4">
        <v>61.712457890000003</v>
      </c>
      <c r="E913" s="4">
        <v>388.9996428</v>
      </c>
      <c r="F913" s="4">
        <v>380.07537380000002</v>
      </c>
      <c r="G913" s="4">
        <v>230.69331729999999</v>
      </c>
      <c r="H913" s="4">
        <v>38.837511980000002</v>
      </c>
      <c r="I913" t="s">
        <v>16</v>
      </c>
      <c r="J913" s="1">
        <v>45852</v>
      </c>
      <c r="K913" s="4" t="str">
        <f>TRIM(CLEAN(Table1[[#This Row],[Region]]))</f>
        <v>East</v>
      </c>
    </row>
    <row r="914" spans="1:11" x14ac:dyDescent="0.3">
      <c r="A914" s="2">
        <v>927</v>
      </c>
      <c r="B914" t="s">
        <v>14</v>
      </c>
      <c r="C914" t="s">
        <v>17</v>
      </c>
      <c r="D914" s="4">
        <v>65.856464930000001</v>
      </c>
      <c r="E914" s="4">
        <v>741.00486490000003</v>
      </c>
      <c r="F914" s="4">
        <v>462.82611159999999</v>
      </c>
      <c r="G914" s="4">
        <v>162.771973</v>
      </c>
      <c r="H914" s="4">
        <v>33.919838259999999</v>
      </c>
      <c r="I914" t="s">
        <v>16</v>
      </c>
      <c r="J914" s="1">
        <v>45853</v>
      </c>
      <c r="K914" s="4" t="str">
        <f>TRIM(CLEAN(Table1[[#This Row],[Region]]))</f>
        <v>North</v>
      </c>
    </row>
    <row r="915" spans="1:11" x14ac:dyDescent="0.3">
      <c r="A915" s="2">
        <v>928</v>
      </c>
      <c r="B915" t="s">
        <v>20</v>
      </c>
      <c r="C915" t="s">
        <v>17</v>
      </c>
      <c r="D915" s="4">
        <v>57.795667270000003</v>
      </c>
      <c r="E915" s="4">
        <v>522.14916229999994</v>
      </c>
      <c r="F915" s="4">
        <v>574.44370040000001</v>
      </c>
      <c r="G915" s="4">
        <v>179.28136689999999</v>
      </c>
      <c r="H915" s="4">
        <v>23.659281740000001</v>
      </c>
      <c r="I915" t="s">
        <v>16</v>
      </c>
      <c r="J915" s="1">
        <v>45854</v>
      </c>
      <c r="K915" s="4" t="str">
        <f>TRIM(CLEAN(Table1[[#This Row],[Region]]))</f>
        <v>Unknown</v>
      </c>
    </row>
    <row r="916" spans="1:11" x14ac:dyDescent="0.3">
      <c r="A916" s="2">
        <v>929</v>
      </c>
      <c r="B916" t="s">
        <v>14</v>
      </c>
      <c r="C916" t="s">
        <v>17</v>
      </c>
      <c r="D916" s="4">
        <v>40.132139539999997</v>
      </c>
      <c r="E916" s="4">
        <v>502.12804369999998</v>
      </c>
      <c r="F916" s="4">
        <v>515.68738240000005</v>
      </c>
      <c r="G916" s="4">
        <v>222.25521269999999</v>
      </c>
      <c r="H916" s="4">
        <v>30.4818462</v>
      </c>
      <c r="I916" t="s">
        <v>18</v>
      </c>
      <c r="J916" s="1">
        <v>45855</v>
      </c>
      <c r="K916" s="4" t="str">
        <f>TRIM(CLEAN(Table1[[#This Row],[Region]]))</f>
        <v>North</v>
      </c>
    </row>
    <row r="917" spans="1:11" x14ac:dyDescent="0.3">
      <c r="A917" s="2">
        <v>930</v>
      </c>
      <c r="B917" t="s">
        <v>14</v>
      </c>
      <c r="C917" t="s">
        <v>20</v>
      </c>
      <c r="D917" s="4">
        <v>64.820224940000003</v>
      </c>
      <c r="E917" s="4">
        <v>588.67323599999997</v>
      </c>
      <c r="F917" s="4">
        <v>467.79359690000001</v>
      </c>
      <c r="G917" s="4">
        <v>160.05396719999999</v>
      </c>
      <c r="H917" s="4">
        <v>24.92185873</v>
      </c>
      <c r="I917" t="s">
        <v>16</v>
      </c>
      <c r="J917" s="1">
        <v>45856</v>
      </c>
      <c r="K917" s="4" t="str">
        <f>TRIM(CLEAN(Table1[[#This Row],[Region]]))</f>
        <v>North</v>
      </c>
    </row>
    <row r="918" spans="1:11" x14ac:dyDescent="0.3">
      <c r="A918" s="2">
        <v>931</v>
      </c>
      <c r="B918" t="s">
        <v>14</v>
      </c>
      <c r="C918" t="s">
        <v>17</v>
      </c>
      <c r="D918" s="4">
        <v>47.467450900000003</v>
      </c>
      <c r="E918" s="4">
        <v>434.91672740000001</v>
      </c>
      <c r="F918" s="4">
        <v>410.89419450000003</v>
      </c>
      <c r="G918" s="4">
        <v>260.3059217</v>
      </c>
      <c r="H918" s="4">
        <v>21.741952019999999</v>
      </c>
      <c r="I918" t="s">
        <v>16</v>
      </c>
      <c r="J918" s="1">
        <v>45857</v>
      </c>
      <c r="K918" s="4" t="str">
        <f>TRIM(CLEAN(Table1[[#This Row],[Region]]))</f>
        <v>North</v>
      </c>
    </row>
    <row r="919" spans="1:11" x14ac:dyDescent="0.3">
      <c r="A919" s="2">
        <v>932</v>
      </c>
      <c r="B919" t="s">
        <v>12</v>
      </c>
      <c r="C919" t="s">
        <v>15</v>
      </c>
      <c r="D919" s="4">
        <v>37.855407190000001</v>
      </c>
      <c r="E919" s="4">
        <v>500.1845955</v>
      </c>
      <c r="F919" s="4">
        <v>132.0127464</v>
      </c>
      <c r="G919" s="4">
        <v>230.4587617</v>
      </c>
      <c r="H919" s="4">
        <v>27.764003030000001</v>
      </c>
      <c r="I919" t="s">
        <v>16</v>
      </c>
      <c r="J919" s="1">
        <v>45858</v>
      </c>
      <c r="K919" s="4" t="str">
        <f>TRIM(CLEAN(Table1[[#This Row],[Region]]))</f>
        <v>South</v>
      </c>
    </row>
    <row r="920" spans="1:11" x14ac:dyDescent="0.3">
      <c r="A920" s="2">
        <v>933</v>
      </c>
      <c r="B920" t="s">
        <v>12</v>
      </c>
      <c r="C920" t="s">
        <v>19</v>
      </c>
      <c r="D920" s="4">
        <v>40.355957449999998</v>
      </c>
      <c r="E920" s="4">
        <v>503.25760000000002</v>
      </c>
      <c r="F920" s="4">
        <v>563.79849790000003</v>
      </c>
      <c r="G920" s="4">
        <v>208.57547740000001</v>
      </c>
      <c r="H920" s="4">
        <v>34.90766438</v>
      </c>
      <c r="I920" t="s">
        <v>20</v>
      </c>
      <c r="J920" s="1">
        <v>45859</v>
      </c>
      <c r="K920" s="4" t="str">
        <f>TRIM(CLEAN(Table1[[#This Row],[Region]]))</f>
        <v>South</v>
      </c>
    </row>
    <row r="921" spans="1:11" x14ac:dyDescent="0.3">
      <c r="A921" s="2">
        <v>934</v>
      </c>
      <c r="B921" t="s">
        <v>13</v>
      </c>
      <c r="C921" t="s">
        <v>17</v>
      </c>
      <c r="D921" s="4">
        <v>45.698433639999998</v>
      </c>
      <c r="E921" s="4">
        <v>448.78542679999998</v>
      </c>
      <c r="F921" s="4">
        <v>449.64579609999998</v>
      </c>
      <c r="G921" s="4">
        <v>219.54702990000001</v>
      </c>
      <c r="H921" s="4">
        <v>31.374563550000001</v>
      </c>
      <c r="I921" t="s">
        <v>18</v>
      </c>
      <c r="J921" s="1">
        <v>45860</v>
      </c>
      <c r="K921" s="4" t="str">
        <f>TRIM(CLEAN(Table1[[#This Row],[Region]]))</f>
        <v>East</v>
      </c>
    </row>
    <row r="922" spans="1:11" x14ac:dyDescent="0.3">
      <c r="A922" s="2">
        <v>935</v>
      </c>
      <c r="B922" t="s">
        <v>14</v>
      </c>
      <c r="C922" t="s">
        <v>20</v>
      </c>
      <c r="D922" s="4">
        <v>50.4957852</v>
      </c>
      <c r="E922" s="4">
        <v>619.96380790000001</v>
      </c>
      <c r="F922" s="4">
        <v>661.60035340000002</v>
      </c>
      <c r="G922" s="4">
        <v>176.6554692</v>
      </c>
      <c r="H922" s="4">
        <v>23.045529340000002</v>
      </c>
      <c r="I922" t="s">
        <v>16</v>
      </c>
      <c r="J922" s="1">
        <v>45861</v>
      </c>
      <c r="K922" s="4" t="str">
        <f>TRIM(CLEAN(Table1[[#This Row],[Region]]))</f>
        <v>North</v>
      </c>
    </row>
    <row r="923" spans="1:11" x14ac:dyDescent="0.3">
      <c r="A923" s="2">
        <v>936</v>
      </c>
      <c r="B923" t="s">
        <v>14</v>
      </c>
      <c r="C923" t="s">
        <v>19</v>
      </c>
      <c r="D923" s="4">
        <v>48.386557879999998</v>
      </c>
      <c r="E923" s="4">
        <v>478.1345589</v>
      </c>
      <c r="F923" s="4">
        <v>527.76336360000005</v>
      </c>
      <c r="G923" s="4">
        <v>168.68542890000001</v>
      </c>
      <c r="H923" s="4">
        <v>27.588292119999998</v>
      </c>
      <c r="I923" t="s">
        <v>16</v>
      </c>
      <c r="J923" s="1">
        <v>45862</v>
      </c>
      <c r="K923" s="4" t="str">
        <f>TRIM(CLEAN(Table1[[#This Row],[Region]]))</f>
        <v>North</v>
      </c>
    </row>
    <row r="924" spans="1:11" x14ac:dyDescent="0.3">
      <c r="A924" s="2">
        <v>937</v>
      </c>
      <c r="B924" t="s">
        <v>21</v>
      </c>
      <c r="C924" t="s">
        <v>11</v>
      </c>
      <c r="D924" s="4">
        <v>35.873315820000002</v>
      </c>
      <c r="E924" s="4">
        <v>344.68679470000001</v>
      </c>
      <c r="F924" s="4">
        <v>415.06495530000001</v>
      </c>
      <c r="G924" s="4">
        <v>178.76388919999999</v>
      </c>
      <c r="H924" s="4">
        <v>29.285667069999999</v>
      </c>
      <c r="I924" t="s">
        <v>18</v>
      </c>
      <c r="J924" s="1">
        <v>45863</v>
      </c>
      <c r="K924" s="4" t="str">
        <f>TRIM(CLEAN(Table1[[#This Row],[Region]]))</f>
        <v>South</v>
      </c>
    </row>
    <row r="925" spans="1:11" x14ac:dyDescent="0.3">
      <c r="A925" s="2">
        <v>938</v>
      </c>
      <c r="B925" t="s">
        <v>14</v>
      </c>
      <c r="C925" t="s">
        <v>20</v>
      </c>
      <c r="D925" s="4">
        <v>62.133164090000001</v>
      </c>
      <c r="E925" s="4">
        <v>469.85026360000001</v>
      </c>
      <c r="F925" s="4">
        <v>608.02441060000001</v>
      </c>
      <c r="G925" s="4">
        <v>224.99833459999999</v>
      </c>
      <c r="H925" s="4">
        <v>21.55443773</v>
      </c>
      <c r="I925" t="s">
        <v>20</v>
      </c>
      <c r="J925" s="1">
        <v>45864</v>
      </c>
      <c r="K925" s="4" t="str">
        <f>TRIM(CLEAN(Table1[[#This Row],[Region]]))</f>
        <v>North</v>
      </c>
    </row>
    <row r="926" spans="1:11" x14ac:dyDescent="0.3">
      <c r="A926" s="2">
        <v>939</v>
      </c>
      <c r="B926" t="s">
        <v>21</v>
      </c>
      <c r="C926" t="s">
        <v>19</v>
      </c>
      <c r="D926" s="4">
        <v>48.493940809999998</v>
      </c>
      <c r="E926" s="4">
        <v>524.91786720000005</v>
      </c>
      <c r="F926" s="4">
        <v>618.13552870000001</v>
      </c>
      <c r="G926" s="4">
        <v>210.050749</v>
      </c>
      <c r="H926" s="4">
        <v>33.565861830000003</v>
      </c>
      <c r="I926" t="s">
        <v>16</v>
      </c>
      <c r="J926" s="1">
        <v>45865</v>
      </c>
      <c r="K926" s="4" t="str">
        <f>TRIM(CLEAN(Table1[[#This Row],[Region]]))</f>
        <v>South</v>
      </c>
    </row>
    <row r="927" spans="1:11" x14ac:dyDescent="0.3">
      <c r="A927" s="2">
        <v>940</v>
      </c>
      <c r="B927" t="s">
        <v>14</v>
      </c>
      <c r="C927" t="s">
        <v>20</v>
      </c>
      <c r="D927" s="4">
        <v>42.862461439999997</v>
      </c>
      <c r="E927" s="4">
        <v>410.6506766</v>
      </c>
      <c r="F927" s="4">
        <v>453.71618230000001</v>
      </c>
      <c r="G927" s="4">
        <v>178.86427699999999</v>
      </c>
      <c r="H927" s="4">
        <v>28.856324870000002</v>
      </c>
      <c r="I927" t="s">
        <v>20</v>
      </c>
      <c r="J927" s="1">
        <v>45866</v>
      </c>
      <c r="K927" s="4" t="str">
        <f>TRIM(CLEAN(Table1[[#This Row],[Region]]))</f>
        <v>North</v>
      </c>
    </row>
    <row r="928" spans="1:11" x14ac:dyDescent="0.3">
      <c r="A928" s="2">
        <v>941</v>
      </c>
      <c r="B928" t="s">
        <v>13</v>
      </c>
      <c r="C928" t="s">
        <v>20</v>
      </c>
      <c r="D928" s="4">
        <v>85.550321920000002</v>
      </c>
      <c r="E928" s="4">
        <v>418.5405207</v>
      </c>
      <c r="F928" s="4">
        <v>623.23738390000005</v>
      </c>
      <c r="G928" s="4">
        <v>237.47908720000001</v>
      </c>
      <c r="H928" s="4">
        <v>23.047025699999999</v>
      </c>
      <c r="I928" t="s">
        <v>18</v>
      </c>
      <c r="J928" s="1">
        <v>45867</v>
      </c>
      <c r="K928" s="4" t="str">
        <f>TRIM(CLEAN(Table1[[#This Row],[Region]]))</f>
        <v>East</v>
      </c>
    </row>
    <row r="929" spans="1:11" x14ac:dyDescent="0.3">
      <c r="A929" s="2">
        <v>942</v>
      </c>
      <c r="B929" t="s">
        <v>14</v>
      </c>
      <c r="C929" t="s">
        <v>15</v>
      </c>
      <c r="D929" s="4">
        <v>38.16593812</v>
      </c>
      <c r="E929" s="4">
        <v>445.3740962</v>
      </c>
      <c r="F929" s="4">
        <v>413.36303340000001</v>
      </c>
      <c r="G929" s="4">
        <v>191.30267889999999</v>
      </c>
      <c r="H929" s="4">
        <v>22.764132029999999</v>
      </c>
      <c r="I929" t="s">
        <v>16</v>
      </c>
      <c r="J929" s="1">
        <v>45868</v>
      </c>
      <c r="K929" s="4" t="str">
        <f>TRIM(CLEAN(Table1[[#This Row],[Region]]))</f>
        <v>North</v>
      </c>
    </row>
    <row r="930" spans="1:11" x14ac:dyDescent="0.3">
      <c r="A930" s="2">
        <v>943</v>
      </c>
      <c r="B930" t="s">
        <v>14</v>
      </c>
      <c r="C930" t="s">
        <v>11</v>
      </c>
      <c r="D930" s="4">
        <v>33.711098159999999</v>
      </c>
      <c r="E930" s="4">
        <v>622.12356599999998</v>
      </c>
      <c r="F930" s="4">
        <v>499.15773230000002</v>
      </c>
      <c r="G930" s="4">
        <v>165.33446269999999</v>
      </c>
      <c r="H930" s="4">
        <v>35.50331972</v>
      </c>
      <c r="I930" t="s">
        <v>16</v>
      </c>
      <c r="J930" s="1">
        <v>45869</v>
      </c>
      <c r="K930" s="4" t="str">
        <f>TRIM(CLEAN(Table1[[#This Row],[Region]]))</f>
        <v>North</v>
      </c>
    </row>
    <row r="931" spans="1:11" x14ac:dyDescent="0.3">
      <c r="A931" s="2">
        <v>944</v>
      </c>
      <c r="B931" t="s">
        <v>10</v>
      </c>
      <c r="C931" t="s">
        <v>11</v>
      </c>
      <c r="D931" s="4">
        <v>62.724874470000003</v>
      </c>
      <c r="E931" s="4">
        <v>451.28419769999999</v>
      </c>
      <c r="F931" s="4">
        <v>548.5690065</v>
      </c>
      <c r="G931" s="4">
        <v>212.71707549999999</v>
      </c>
      <c r="H931" s="4">
        <v>28.095934840000002</v>
      </c>
      <c r="I931" t="s">
        <v>18</v>
      </c>
      <c r="J931" s="1">
        <v>45870</v>
      </c>
      <c r="K931" s="4" t="str">
        <f>TRIM(CLEAN(Table1[[#This Row],[Region]]))</f>
        <v>West</v>
      </c>
    </row>
    <row r="932" spans="1:11" x14ac:dyDescent="0.3">
      <c r="A932" s="2">
        <v>945</v>
      </c>
      <c r="B932" t="s">
        <v>21</v>
      </c>
      <c r="C932" t="s">
        <v>20</v>
      </c>
      <c r="D932" s="4">
        <v>68.913878499999996</v>
      </c>
      <c r="E932" s="4">
        <v>642.91170190000003</v>
      </c>
      <c r="F932" s="4">
        <v>574.17379010000002</v>
      </c>
      <c r="G932" s="4">
        <v>149.3485244</v>
      </c>
      <c r="H932" s="4">
        <v>35.951760139999998</v>
      </c>
      <c r="I932" t="s">
        <v>18</v>
      </c>
      <c r="J932" s="1">
        <v>45871</v>
      </c>
      <c r="K932" s="4" t="str">
        <f>TRIM(CLEAN(Table1[[#This Row],[Region]]))</f>
        <v>South</v>
      </c>
    </row>
    <row r="933" spans="1:11" x14ac:dyDescent="0.3">
      <c r="A933" s="2">
        <v>946</v>
      </c>
      <c r="B933" t="s">
        <v>14</v>
      </c>
      <c r="C933" t="s">
        <v>19</v>
      </c>
      <c r="D933" s="4">
        <v>45.379039810000002</v>
      </c>
      <c r="E933" s="4">
        <v>438.50495619999998</v>
      </c>
      <c r="F933" s="4">
        <v>554.58262179999997</v>
      </c>
      <c r="G933" s="4">
        <v>115.6388125</v>
      </c>
      <c r="H933" s="4">
        <v>37.860777400000003</v>
      </c>
      <c r="I933" t="s">
        <v>18</v>
      </c>
      <c r="J933" s="1">
        <v>45872</v>
      </c>
      <c r="K933" s="4" t="str">
        <f>TRIM(CLEAN(Table1[[#This Row],[Region]]))</f>
        <v>North</v>
      </c>
    </row>
    <row r="934" spans="1:11" x14ac:dyDescent="0.3">
      <c r="A934" s="2">
        <v>947</v>
      </c>
      <c r="B934" t="s">
        <v>14</v>
      </c>
      <c r="C934" t="s">
        <v>17</v>
      </c>
      <c r="D934" s="4">
        <v>49.540299920000002</v>
      </c>
      <c r="E934" s="4">
        <v>532.50141359999998</v>
      </c>
      <c r="F934" s="4">
        <v>440.08113830000002</v>
      </c>
      <c r="G934" s="4">
        <v>199.7447712</v>
      </c>
      <c r="H934" s="4">
        <v>35.112241359999999</v>
      </c>
      <c r="I934" t="s">
        <v>20</v>
      </c>
      <c r="J934" s="1">
        <v>45873</v>
      </c>
      <c r="K934" s="4" t="str">
        <f>TRIM(CLEAN(Table1[[#This Row],[Region]]))</f>
        <v>North</v>
      </c>
    </row>
    <row r="935" spans="1:11" x14ac:dyDescent="0.3">
      <c r="A935" s="2">
        <v>948</v>
      </c>
      <c r="B935" t="s">
        <v>12</v>
      </c>
      <c r="C935" t="s">
        <v>17</v>
      </c>
      <c r="D935" s="4">
        <v>38.53335285</v>
      </c>
      <c r="E935" s="4">
        <v>455.37573259999999</v>
      </c>
      <c r="F935" s="4">
        <v>611.24371689999998</v>
      </c>
      <c r="G935" s="4">
        <v>167.12931029999999</v>
      </c>
      <c r="H935" s="4">
        <v>27.332841269999999</v>
      </c>
      <c r="I935" t="s">
        <v>18</v>
      </c>
      <c r="J935" s="1">
        <v>45874</v>
      </c>
      <c r="K935" s="4" t="str">
        <f>TRIM(CLEAN(Table1[[#This Row],[Region]]))</f>
        <v>South</v>
      </c>
    </row>
    <row r="936" spans="1:11" x14ac:dyDescent="0.3">
      <c r="A936" s="2">
        <v>949</v>
      </c>
      <c r="B936" t="s">
        <v>10</v>
      </c>
      <c r="C936" t="s">
        <v>15</v>
      </c>
      <c r="D936" s="4">
        <v>50.054925500000003</v>
      </c>
      <c r="E936" s="4">
        <v>575.40831700000001</v>
      </c>
      <c r="F936" s="4">
        <v>465.06872120000003</v>
      </c>
      <c r="G936" s="4">
        <v>187.2922824</v>
      </c>
      <c r="H936" s="4">
        <v>17.510764399999999</v>
      </c>
      <c r="I936" t="s">
        <v>16</v>
      </c>
      <c r="J936" s="1">
        <v>45875</v>
      </c>
      <c r="K936" s="4" t="str">
        <f>TRIM(CLEAN(Table1[[#This Row],[Region]]))</f>
        <v>West</v>
      </c>
    </row>
    <row r="937" spans="1:11" x14ac:dyDescent="0.3">
      <c r="A937" s="2">
        <v>950</v>
      </c>
      <c r="B937" t="s">
        <v>20</v>
      </c>
      <c r="C937" t="s">
        <v>15</v>
      </c>
      <c r="D937" s="4">
        <v>86.201151510000003</v>
      </c>
      <c r="E937" s="4">
        <v>388.17258450000003</v>
      </c>
      <c r="F937" s="4">
        <v>411.71671650000002</v>
      </c>
      <c r="G937" s="4">
        <v>151.66335409999999</v>
      </c>
      <c r="H937" s="4">
        <v>31.56498152</v>
      </c>
      <c r="I937" t="s">
        <v>20</v>
      </c>
      <c r="J937" s="1">
        <v>45876</v>
      </c>
      <c r="K937" s="4" t="str">
        <f>TRIM(CLEAN(Table1[[#This Row],[Region]]))</f>
        <v>Unknown</v>
      </c>
    </row>
    <row r="938" spans="1:11" x14ac:dyDescent="0.3">
      <c r="A938" s="2">
        <v>951</v>
      </c>
      <c r="B938" t="s">
        <v>20</v>
      </c>
      <c r="C938" t="s">
        <v>17</v>
      </c>
      <c r="D938" s="4">
        <v>48.978715600000001</v>
      </c>
      <c r="E938" s="4">
        <v>574.28594799999996</v>
      </c>
      <c r="F938" s="4">
        <v>413.47944389999998</v>
      </c>
      <c r="G938" s="4">
        <v>260.44660699999997</v>
      </c>
      <c r="H938" s="4">
        <v>40.45788185</v>
      </c>
      <c r="I938" t="s">
        <v>18</v>
      </c>
      <c r="J938" s="1">
        <v>45877</v>
      </c>
      <c r="K938" s="4" t="str">
        <f>TRIM(CLEAN(Table1[[#This Row],[Region]]))</f>
        <v>Unknown</v>
      </c>
    </row>
    <row r="939" spans="1:11" x14ac:dyDescent="0.3">
      <c r="A939" s="2">
        <v>952</v>
      </c>
      <c r="B939" t="s">
        <v>12</v>
      </c>
      <c r="C939" t="s">
        <v>19</v>
      </c>
      <c r="D939" s="4">
        <v>54.092583879999999</v>
      </c>
      <c r="E939" s="4">
        <v>511.38693999999998</v>
      </c>
      <c r="F939" s="4">
        <v>712.79860699999995</v>
      </c>
      <c r="G939" s="4">
        <v>166.92536279999999</v>
      </c>
      <c r="H939" s="4">
        <v>29.823049610000002</v>
      </c>
      <c r="I939" t="s">
        <v>18</v>
      </c>
      <c r="J939" s="1">
        <v>45878</v>
      </c>
      <c r="K939" s="4" t="str">
        <f>TRIM(CLEAN(Table1[[#This Row],[Region]]))</f>
        <v>South</v>
      </c>
    </row>
    <row r="940" spans="1:11" x14ac:dyDescent="0.3">
      <c r="A940" s="2">
        <v>953</v>
      </c>
      <c r="B940" t="s">
        <v>12</v>
      </c>
      <c r="C940" t="s">
        <v>17</v>
      </c>
      <c r="D940" s="4">
        <v>39.01854522</v>
      </c>
      <c r="E940" s="4">
        <v>436.00081829999999</v>
      </c>
      <c r="F940" s="4">
        <v>390.96198859999998</v>
      </c>
      <c r="G940" s="4">
        <v>178.40003110000001</v>
      </c>
      <c r="H940" s="4">
        <v>20.050922409999998</v>
      </c>
      <c r="I940" t="s">
        <v>16</v>
      </c>
      <c r="J940" s="1">
        <v>45879</v>
      </c>
      <c r="K940" s="4" t="str">
        <f>TRIM(CLEAN(Table1[[#This Row],[Region]]))</f>
        <v>South</v>
      </c>
    </row>
    <row r="941" spans="1:11" x14ac:dyDescent="0.3">
      <c r="A941" s="2">
        <v>954</v>
      </c>
      <c r="B941" t="s">
        <v>12</v>
      </c>
      <c r="C941" t="s">
        <v>19</v>
      </c>
      <c r="D941" s="4">
        <v>46.381886610000002</v>
      </c>
      <c r="E941" s="4">
        <v>483.37785150000002</v>
      </c>
      <c r="F941" s="4">
        <v>634.99622720000002</v>
      </c>
      <c r="G941" s="4">
        <v>218.8941634</v>
      </c>
      <c r="H941" s="4">
        <v>26.625607519999999</v>
      </c>
      <c r="I941" t="s">
        <v>18</v>
      </c>
      <c r="J941" s="1">
        <v>45880</v>
      </c>
      <c r="K941" s="4" t="str">
        <f>TRIM(CLEAN(Table1[[#This Row],[Region]]))</f>
        <v>South</v>
      </c>
    </row>
    <row r="942" spans="1:11" x14ac:dyDescent="0.3">
      <c r="A942" s="2">
        <v>955</v>
      </c>
      <c r="B942" t="s">
        <v>21</v>
      </c>
      <c r="C942" t="s">
        <v>15</v>
      </c>
      <c r="D942" s="4">
        <v>31.962185779999999</v>
      </c>
      <c r="E942" s="4">
        <v>653.38549409999996</v>
      </c>
      <c r="F942" s="4">
        <v>343.74399649999998</v>
      </c>
      <c r="G942" s="4">
        <v>131.1692851</v>
      </c>
      <c r="H942" s="4">
        <v>29.08133363</v>
      </c>
      <c r="I942" t="s">
        <v>18</v>
      </c>
      <c r="J942" s="1">
        <v>45881</v>
      </c>
      <c r="K942" s="4" t="str">
        <f>TRIM(CLEAN(Table1[[#This Row],[Region]]))</f>
        <v>South</v>
      </c>
    </row>
    <row r="943" spans="1:11" x14ac:dyDescent="0.3">
      <c r="A943" s="2">
        <v>956</v>
      </c>
      <c r="B943" t="s">
        <v>21</v>
      </c>
      <c r="C943" t="s">
        <v>19</v>
      </c>
      <c r="D943" s="4">
        <v>46.450127160000001</v>
      </c>
      <c r="E943" s="4">
        <v>513.78445050000005</v>
      </c>
      <c r="F943" s="4">
        <v>538.54865340000003</v>
      </c>
      <c r="G943" s="4">
        <v>127.47251129999999</v>
      </c>
      <c r="H943" s="4">
        <v>24.510057159999999</v>
      </c>
      <c r="I943" t="s">
        <v>20</v>
      </c>
      <c r="J943" s="1">
        <v>45882</v>
      </c>
      <c r="K943" s="4" t="str">
        <f>TRIM(CLEAN(Table1[[#This Row],[Region]]))</f>
        <v>South</v>
      </c>
    </row>
    <row r="944" spans="1:11" x14ac:dyDescent="0.3">
      <c r="A944" s="2">
        <v>957</v>
      </c>
      <c r="B944" t="s">
        <v>13</v>
      </c>
      <c r="C944" t="s">
        <v>20</v>
      </c>
      <c r="D944" s="4">
        <v>49.065659289999999</v>
      </c>
      <c r="E944" s="4">
        <v>429.72719840000002</v>
      </c>
      <c r="F944" s="4">
        <v>515.65001419999999</v>
      </c>
      <c r="G944" s="4">
        <v>219.04764180000001</v>
      </c>
      <c r="H944" s="4">
        <v>17.180230160000001</v>
      </c>
      <c r="I944" t="s">
        <v>16</v>
      </c>
      <c r="J944" s="1">
        <v>45883</v>
      </c>
      <c r="K944" s="4" t="str">
        <f>TRIM(CLEAN(Table1[[#This Row],[Region]]))</f>
        <v>East</v>
      </c>
    </row>
    <row r="945" spans="1:11" x14ac:dyDescent="0.3">
      <c r="A945" s="2">
        <v>958</v>
      </c>
      <c r="B945" t="s">
        <v>13</v>
      </c>
      <c r="C945" t="s">
        <v>15</v>
      </c>
      <c r="D945" s="4">
        <v>52.289824250000002</v>
      </c>
      <c r="E945" s="4">
        <v>379.53067170000003</v>
      </c>
      <c r="F945" s="4">
        <v>674.54722560000005</v>
      </c>
      <c r="G945" s="4">
        <v>177.75261850000001</v>
      </c>
      <c r="H945" s="4">
        <v>29.510746149999999</v>
      </c>
      <c r="I945" t="s">
        <v>20</v>
      </c>
      <c r="J945" s="1">
        <v>45884</v>
      </c>
      <c r="K945" s="4" t="str">
        <f>TRIM(CLEAN(Table1[[#This Row],[Region]]))</f>
        <v>East</v>
      </c>
    </row>
    <row r="946" spans="1:11" x14ac:dyDescent="0.3">
      <c r="A946" s="2">
        <v>959</v>
      </c>
      <c r="B946" t="s">
        <v>12</v>
      </c>
      <c r="C946" t="s">
        <v>15</v>
      </c>
      <c r="D946" s="4">
        <v>52.395765400000002</v>
      </c>
      <c r="E946" s="4">
        <v>550.54042730000003</v>
      </c>
      <c r="F946" s="4">
        <v>401.47177260000001</v>
      </c>
      <c r="G946" s="4">
        <v>154.92524470000001</v>
      </c>
      <c r="H946" s="4">
        <v>26.075618769999998</v>
      </c>
      <c r="I946" t="s">
        <v>16</v>
      </c>
      <c r="J946" s="1">
        <v>45885</v>
      </c>
      <c r="K946" s="4" t="str">
        <f>TRIM(CLEAN(Table1[[#This Row],[Region]]))</f>
        <v>South</v>
      </c>
    </row>
    <row r="947" spans="1:11" x14ac:dyDescent="0.3">
      <c r="A947" s="2">
        <v>960</v>
      </c>
      <c r="B947" t="s">
        <v>10</v>
      </c>
      <c r="C947" t="s">
        <v>11</v>
      </c>
      <c r="D947" s="4">
        <v>59.039227510000003</v>
      </c>
      <c r="E947" s="4">
        <v>519.58452469999997</v>
      </c>
      <c r="F947" s="4">
        <v>368.3202938</v>
      </c>
      <c r="G947" s="4">
        <v>230.16865859999999</v>
      </c>
      <c r="H947" s="4">
        <v>38.863458299999998</v>
      </c>
      <c r="I947" t="s">
        <v>16</v>
      </c>
      <c r="J947" s="1">
        <v>45886</v>
      </c>
      <c r="K947" s="4" t="str">
        <f>TRIM(CLEAN(Table1[[#This Row],[Region]]))</f>
        <v>West</v>
      </c>
    </row>
    <row r="948" spans="1:11" x14ac:dyDescent="0.3">
      <c r="A948" s="2">
        <v>961</v>
      </c>
      <c r="B948" t="s">
        <v>14</v>
      </c>
      <c r="C948" t="s">
        <v>11</v>
      </c>
      <c r="D948" s="4">
        <v>34.60333481</v>
      </c>
      <c r="E948" s="4">
        <v>569.50206949999995</v>
      </c>
      <c r="F948" s="4">
        <v>466.01875460000002</v>
      </c>
      <c r="G948" s="4">
        <v>159.40391700000001</v>
      </c>
      <c r="H948" s="4">
        <v>30.505167440000001</v>
      </c>
      <c r="I948" t="s">
        <v>20</v>
      </c>
      <c r="J948" s="1">
        <v>45887</v>
      </c>
      <c r="K948" s="4" t="str">
        <f>TRIM(CLEAN(Table1[[#This Row],[Region]]))</f>
        <v>North</v>
      </c>
    </row>
    <row r="949" spans="1:11" x14ac:dyDescent="0.3">
      <c r="A949" s="2">
        <v>962</v>
      </c>
      <c r="B949" t="s">
        <v>21</v>
      </c>
      <c r="C949" t="s">
        <v>11</v>
      </c>
      <c r="D949" s="4">
        <v>35.137229699999999</v>
      </c>
      <c r="E949" s="4">
        <v>353.77752600000002</v>
      </c>
      <c r="F949" s="4">
        <v>679.77621950000002</v>
      </c>
      <c r="G949" s="4">
        <v>186.274385</v>
      </c>
      <c r="H949" s="4">
        <v>32.347894480000001</v>
      </c>
      <c r="I949" t="s">
        <v>16</v>
      </c>
      <c r="J949" s="1">
        <v>45888</v>
      </c>
      <c r="K949" s="4" t="str">
        <f>TRIM(CLEAN(Table1[[#This Row],[Region]]))</f>
        <v>South</v>
      </c>
    </row>
    <row r="950" spans="1:11" x14ac:dyDescent="0.3">
      <c r="A950" s="2">
        <v>963</v>
      </c>
      <c r="B950" t="s">
        <v>10</v>
      </c>
      <c r="C950" t="s">
        <v>20</v>
      </c>
      <c r="D950" s="4">
        <v>55.289579359999998</v>
      </c>
      <c r="E950" s="4">
        <v>382.77395469999999</v>
      </c>
      <c r="F950" s="4">
        <v>373.90098239999998</v>
      </c>
      <c r="G950" s="4">
        <v>155.1934766</v>
      </c>
      <c r="H950" s="4">
        <v>29.40456928</v>
      </c>
      <c r="I950" t="s">
        <v>20</v>
      </c>
      <c r="J950" s="1">
        <v>45889</v>
      </c>
      <c r="K950" s="4" t="str">
        <f>TRIM(CLEAN(Table1[[#This Row],[Region]]))</f>
        <v>West</v>
      </c>
    </row>
    <row r="951" spans="1:11" x14ac:dyDescent="0.3">
      <c r="A951" s="2">
        <v>964</v>
      </c>
      <c r="B951" t="s">
        <v>14</v>
      </c>
      <c r="C951" t="s">
        <v>11</v>
      </c>
      <c r="D951" s="4">
        <v>29.610387230000001</v>
      </c>
      <c r="E951" s="4">
        <v>614.6879199</v>
      </c>
      <c r="F951" s="4">
        <v>169.3900041</v>
      </c>
      <c r="G951" s="4">
        <v>215.17185929999999</v>
      </c>
      <c r="H951" s="4">
        <v>30.468666519999999</v>
      </c>
      <c r="I951" t="s">
        <v>16</v>
      </c>
      <c r="J951" s="1">
        <v>45890</v>
      </c>
      <c r="K951" s="4" t="str">
        <f>TRIM(CLEAN(Table1[[#This Row],[Region]]))</f>
        <v>North</v>
      </c>
    </row>
    <row r="952" spans="1:11" x14ac:dyDescent="0.3">
      <c r="A952" s="2">
        <v>965</v>
      </c>
      <c r="B952" t="s">
        <v>21</v>
      </c>
      <c r="C952" t="s">
        <v>19</v>
      </c>
      <c r="D952" s="4">
        <v>51.833002120000003</v>
      </c>
      <c r="E952" s="4">
        <v>533.13416470000004</v>
      </c>
      <c r="F952" s="4">
        <v>487.17214050000001</v>
      </c>
      <c r="G952" s="4">
        <v>266.60380959999998</v>
      </c>
      <c r="H952" s="4">
        <v>29.664100000000001</v>
      </c>
      <c r="I952" t="s">
        <v>16</v>
      </c>
      <c r="J952" s="1">
        <v>45891</v>
      </c>
      <c r="K952" s="4" t="str">
        <f>TRIM(CLEAN(Table1[[#This Row],[Region]]))</f>
        <v>South</v>
      </c>
    </row>
    <row r="953" spans="1:11" x14ac:dyDescent="0.3">
      <c r="A953" s="2">
        <v>966</v>
      </c>
      <c r="B953" t="s">
        <v>21</v>
      </c>
      <c r="C953" t="s">
        <v>17</v>
      </c>
      <c r="D953" s="4">
        <v>38.197070600000004</v>
      </c>
      <c r="E953" s="4">
        <v>553.34008510000001</v>
      </c>
      <c r="F953" s="4">
        <v>593.94275019999998</v>
      </c>
      <c r="G953" s="4">
        <v>106.9480035</v>
      </c>
      <c r="H953" s="4">
        <v>24.799168470000001</v>
      </c>
      <c r="I953" t="s">
        <v>16</v>
      </c>
      <c r="J953" s="1">
        <v>45892</v>
      </c>
      <c r="K953" s="4" t="str">
        <f>TRIM(CLEAN(Table1[[#This Row],[Region]]))</f>
        <v>South</v>
      </c>
    </row>
    <row r="954" spans="1:11" x14ac:dyDescent="0.3">
      <c r="A954" s="2">
        <v>967</v>
      </c>
      <c r="B954" t="s">
        <v>13</v>
      </c>
      <c r="C954" t="s">
        <v>19</v>
      </c>
      <c r="D954" s="4">
        <v>65.728146409999994</v>
      </c>
      <c r="E954" s="4">
        <v>403.7312968</v>
      </c>
      <c r="F954" s="4">
        <v>358.3432881</v>
      </c>
      <c r="G954" s="4">
        <v>205.63288439999999</v>
      </c>
      <c r="H954" s="4">
        <v>35.443073509999998</v>
      </c>
      <c r="I954" t="s">
        <v>16</v>
      </c>
      <c r="J954" s="1">
        <v>45893</v>
      </c>
      <c r="K954" s="4" t="str">
        <f>TRIM(CLEAN(Table1[[#This Row],[Region]]))</f>
        <v>East</v>
      </c>
    </row>
    <row r="955" spans="1:11" x14ac:dyDescent="0.3">
      <c r="A955" s="2">
        <v>968</v>
      </c>
      <c r="B955" t="s">
        <v>14</v>
      </c>
      <c r="C955" t="s">
        <v>15</v>
      </c>
      <c r="D955" s="4">
        <v>50.539879999999997</v>
      </c>
      <c r="E955" s="4">
        <v>401.90128019999997</v>
      </c>
      <c r="F955" s="4">
        <v>581.75186080000003</v>
      </c>
      <c r="G955" s="4">
        <v>242.82942209999999</v>
      </c>
      <c r="H955" s="4">
        <v>29.664100000000001</v>
      </c>
      <c r="I955" t="s">
        <v>16</v>
      </c>
      <c r="J955" s="1">
        <v>45894</v>
      </c>
      <c r="K955" s="4" t="str">
        <f>TRIM(CLEAN(Table1[[#This Row],[Region]]))</f>
        <v>North</v>
      </c>
    </row>
    <row r="956" spans="1:11" x14ac:dyDescent="0.3">
      <c r="A956" s="2">
        <v>969</v>
      </c>
      <c r="B956" t="s">
        <v>14</v>
      </c>
      <c r="C956" t="s">
        <v>19</v>
      </c>
      <c r="D956" s="4">
        <v>47.808439800000002</v>
      </c>
      <c r="E956" s="4">
        <v>599.12586580000004</v>
      </c>
      <c r="F956" s="4">
        <v>355.69068179999999</v>
      </c>
      <c r="G956" s="4">
        <v>178.92611260000001</v>
      </c>
      <c r="H956" s="4">
        <v>28.007465409999998</v>
      </c>
      <c r="I956" t="s">
        <v>20</v>
      </c>
      <c r="J956" s="1">
        <v>45895</v>
      </c>
      <c r="K956" s="4" t="str">
        <f>TRIM(CLEAN(Table1[[#This Row],[Region]]))</f>
        <v>North</v>
      </c>
    </row>
    <row r="957" spans="1:11" x14ac:dyDescent="0.3">
      <c r="A957" s="2">
        <v>970</v>
      </c>
      <c r="B957" t="s">
        <v>20</v>
      </c>
      <c r="C957" t="s">
        <v>19</v>
      </c>
      <c r="D957" s="4">
        <v>62.277208770000001</v>
      </c>
      <c r="E957" s="4">
        <v>603.83776550000005</v>
      </c>
      <c r="F957" s="4">
        <v>462.4129757</v>
      </c>
      <c r="G957" s="4">
        <v>143.44788130000001</v>
      </c>
      <c r="H957" s="4">
        <v>32.430856210000002</v>
      </c>
      <c r="I957" t="s">
        <v>20</v>
      </c>
      <c r="J957" s="1">
        <v>45896</v>
      </c>
      <c r="K957" s="4" t="str">
        <f>TRIM(CLEAN(Table1[[#This Row],[Region]]))</f>
        <v>Unknown</v>
      </c>
    </row>
    <row r="958" spans="1:11" x14ac:dyDescent="0.3">
      <c r="A958" s="2">
        <v>971</v>
      </c>
      <c r="B958" t="s">
        <v>20</v>
      </c>
      <c r="C958" t="s">
        <v>19</v>
      </c>
      <c r="D958" s="4">
        <v>39.365979930000002</v>
      </c>
      <c r="E958" s="4">
        <v>391.1680513</v>
      </c>
      <c r="F958" s="4">
        <v>570.32187780000004</v>
      </c>
      <c r="G958" s="4">
        <v>221.04817639999999</v>
      </c>
      <c r="H958" s="4">
        <v>32.529309550000001</v>
      </c>
      <c r="I958" t="s">
        <v>20</v>
      </c>
      <c r="J958" s="1">
        <v>45897</v>
      </c>
      <c r="K958" s="4" t="str">
        <f>TRIM(CLEAN(Table1[[#This Row],[Region]]))</f>
        <v>Unknown</v>
      </c>
    </row>
    <row r="959" spans="1:11" x14ac:dyDescent="0.3">
      <c r="A959" s="2">
        <v>972</v>
      </c>
      <c r="B959" t="s">
        <v>20</v>
      </c>
      <c r="C959" t="s">
        <v>19</v>
      </c>
      <c r="D959" s="4">
        <v>41.265903659999999</v>
      </c>
      <c r="E959" s="4">
        <v>372.06295039999998</v>
      </c>
      <c r="F959" s="4">
        <v>337.50415179999999</v>
      </c>
      <c r="G959" s="4">
        <v>250.08267520000001</v>
      </c>
      <c r="H959" s="4">
        <v>39.954473159999999</v>
      </c>
      <c r="I959" t="s">
        <v>16</v>
      </c>
      <c r="J959" s="1">
        <v>45898</v>
      </c>
      <c r="K959" s="4" t="str">
        <f>TRIM(CLEAN(Table1[[#This Row],[Region]]))</f>
        <v>Unknown</v>
      </c>
    </row>
    <row r="960" spans="1:11" x14ac:dyDescent="0.3">
      <c r="A960" s="2">
        <v>973</v>
      </c>
      <c r="B960" t="s">
        <v>20</v>
      </c>
      <c r="C960" t="s">
        <v>15</v>
      </c>
      <c r="D960" s="4">
        <v>37.385451660000001</v>
      </c>
      <c r="E960" s="4">
        <v>489.14070290000001</v>
      </c>
      <c r="F960" s="4">
        <v>501.78159979999998</v>
      </c>
      <c r="G960" s="4">
        <v>244.5261089</v>
      </c>
      <c r="H960" s="4">
        <v>30.81533172</v>
      </c>
      <c r="I960" t="s">
        <v>16</v>
      </c>
      <c r="J960" s="1">
        <v>45899</v>
      </c>
      <c r="K960" s="4" t="str">
        <f>TRIM(CLEAN(Table1[[#This Row],[Region]]))</f>
        <v>Unknown</v>
      </c>
    </row>
    <row r="961" spans="1:11" x14ac:dyDescent="0.3">
      <c r="A961" s="2">
        <v>974</v>
      </c>
      <c r="B961" t="s">
        <v>14</v>
      </c>
      <c r="C961" t="s">
        <v>17</v>
      </c>
      <c r="D961" s="4">
        <v>41.349607740000003</v>
      </c>
      <c r="E961" s="4">
        <v>420.06515469999999</v>
      </c>
      <c r="F961" s="4">
        <v>625.7968214</v>
      </c>
      <c r="G961" s="4">
        <v>218.29546690000001</v>
      </c>
      <c r="H961" s="4">
        <v>24.687462119999999</v>
      </c>
      <c r="I961" t="s">
        <v>16</v>
      </c>
      <c r="J961" s="1">
        <v>45900</v>
      </c>
      <c r="K961" s="4" t="str">
        <f>TRIM(CLEAN(Table1[[#This Row],[Region]]))</f>
        <v>North</v>
      </c>
    </row>
    <row r="962" spans="1:11" x14ac:dyDescent="0.3">
      <c r="A962" s="2">
        <v>975</v>
      </c>
      <c r="B962" t="s">
        <v>14</v>
      </c>
      <c r="C962" t="s">
        <v>11</v>
      </c>
      <c r="D962" s="4">
        <v>253.0557805</v>
      </c>
      <c r="E962" s="4">
        <v>1671.9292479999999</v>
      </c>
      <c r="F962" s="4">
        <v>536.87209189999999</v>
      </c>
      <c r="G962" s="4">
        <v>204.89568689999999</v>
      </c>
      <c r="H962" s="4">
        <v>29.421517590000001</v>
      </c>
      <c r="I962" t="s">
        <v>18</v>
      </c>
      <c r="J962" s="1">
        <v>45901</v>
      </c>
      <c r="K962" s="4" t="str">
        <f>TRIM(CLEAN(Table1[[#This Row],[Region]]))</f>
        <v>North</v>
      </c>
    </row>
    <row r="963" spans="1:11" x14ac:dyDescent="0.3">
      <c r="A963" s="2">
        <v>976</v>
      </c>
      <c r="B963" t="s">
        <v>21</v>
      </c>
      <c r="C963" t="s">
        <v>20</v>
      </c>
      <c r="D963" s="4">
        <v>54.939518720000002</v>
      </c>
      <c r="E963" s="4">
        <v>374.86217540000001</v>
      </c>
      <c r="F963" s="4">
        <v>393.52487309999998</v>
      </c>
      <c r="G963" s="4">
        <v>155.04937219999999</v>
      </c>
      <c r="H963" s="4">
        <v>33.037828140000002</v>
      </c>
      <c r="I963" t="s">
        <v>20</v>
      </c>
      <c r="J963" s="1">
        <v>45902</v>
      </c>
      <c r="K963" s="4" t="str">
        <f>TRIM(CLEAN(Table1[[#This Row],[Region]]))</f>
        <v>South</v>
      </c>
    </row>
    <row r="964" spans="1:11" x14ac:dyDescent="0.3">
      <c r="A964" s="2">
        <v>977</v>
      </c>
      <c r="B964" t="s">
        <v>12</v>
      </c>
      <c r="C964" t="s">
        <v>17</v>
      </c>
      <c r="D964" s="4">
        <v>59.614216849999998</v>
      </c>
      <c r="E964" s="4">
        <v>453.15661519999998</v>
      </c>
      <c r="F964" s="4">
        <v>662.24620230000005</v>
      </c>
      <c r="G964" s="4">
        <v>243.2622475</v>
      </c>
      <c r="H964" s="4">
        <v>34.978295060000001</v>
      </c>
      <c r="I964" t="s">
        <v>16</v>
      </c>
      <c r="J964" s="1">
        <v>45903</v>
      </c>
      <c r="K964" s="4" t="str">
        <f>TRIM(CLEAN(Table1[[#This Row],[Region]]))</f>
        <v>South</v>
      </c>
    </row>
    <row r="965" spans="1:11" x14ac:dyDescent="0.3">
      <c r="A965" s="2">
        <v>978</v>
      </c>
      <c r="B965" t="s">
        <v>13</v>
      </c>
      <c r="C965" t="s">
        <v>20</v>
      </c>
      <c r="D965" s="4">
        <v>31.752759529999999</v>
      </c>
      <c r="E965" s="4">
        <v>384.5305257</v>
      </c>
      <c r="F965" s="4">
        <v>559.00710140000001</v>
      </c>
      <c r="G965" s="4">
        <v>240.49784070000001</v>
      </c>
      <c r="H965" s="4">
        <v>21.924840639999999</v>
      </c>
      <c r="I965" t="s">
        <v>16</v>
      </c>
      <c r="J965" s="1">
        <v>45904</v>
      </c>
      <c r="K965" s="4" t="str">
        <f>TRIM(CLEAN(Table1[[#This Row],[Region]]))</f>
        <v>East</v>
      </c>
    </row>
    <row r="966" spans="1:11" x14ac:dyDescent="0.3">
      <c r="A966" s="2">
        <v>979</v>
      </c>
      <c r="B966" t="s">
        <v>13</v>
      </c>
      <c r="C966" t="s">
        <v>15</v>
      </c>
      <c r="D966" s="4">
        <v>48.28137014</v>
      </c>
      <c r="E966" s="4">
        <v>390.45990970000003</v>
      </c>
      <c r="F966" s="4">
        <v>256.74624</v>
      </c>
      <c r="G966" s="4">
        <v>199.07849999999999</v>
      </c>
      <c r="H966" s="4">
        <v>31.268533600000001</v>
      </c>
      <c r="I966" t="s">
        <v>18</v>
      </c>
      <c r="J966" s="1">
        <v>45905</v>
      </c>
      <c r="K966" s="4" t="str">
        <f>TRIM(CLEAN(Table1[[#This Row],[Region]]))</f>
        <v>East</v>
      </c>
    </row>
    <row r="967" spans="1:11" x14ac:dyDescent="0.3">
      <c r="A967" s="2">
        <v>980</v>
      </c>
      <c r="B967" t="s">
        <v>20</v>
      </c>
      <c r="C967" t="s">
        <v>15</v>
      </c>
      <c r="D967" s="4">
        <v>38.918354690000001</v>
      </c>
      <c r="E967" s="4">
        <v>529.83918470000003</v>
      </c>
      <c r="F967" s="4">
        <v>583.70923379999999</v>
      </c>
      <c r="G967" s="4">
        <v>218.2239864</v>
      </c>
      <c r="H967" s="4">
        <v>25.513725359999999</v>
      </c>
      <c r="I967" t="s">
        <v>20</v>
      </c>
      <c r="J967" s="1">
        <v>45906</v>
      </c>
      <c r="K967" s="4" t="str">
        <f>TRIM(CLEAN(Table1[[#This Row],[Region]]))</f>
        <v>Unknown</v>
      </c>
    </row>
    <row r="968" spans="1:11" x14ac:dyDescent="0.3">
      <c r="A968" s="2">
        <v>981</v>
      </c>
      <c r="B968" t="s">
        <v>21</v>
      </c>
      <c r="C968" t="s">
        <v>15</v>
      </c>
      <c r="D968" s="4">
        <v>47.947129089999997</v>
      </c>
      <c r="E968" s="4">
        <v>494.48017659999999</v>
      </c>
      <c r="F968" s="4">
        <v>411.43508969999999</v>
      </c>
      <c r="G968" s="4">
        <v>232.6411938</v>
      </c>
      <c r="H968" s="4">
        <v>27.16684038</v>
      </c>
      <c r="I968" t="s">
        <v>16</v>
      </c>
      <c r="J968" s="1">
        <v>45907</v>
      </c>
      <c r="K968" s="4" t="str">
        <f>TRIM(CLEAN(Table1[[#This Row],[Region]]))</f>
        <v>South</v>
      </c>
    </row>
    <row r="969" spans="1:11" x14ac:dyDescent="0.3">
      <c r="A969" s="2">
        <v>982</v>
      </c>
      <c r="B969" t="s">
        <v>10</v>
      </c>
      <c r="C969" t="s">
        <v>19</v>
      </c>
      <c r="D969" s="4">
        <v>73.341635800000006</v>
      </c>
      <c r="E969" s="4">
        <v>548.48786819999998</v>
      </c>
      <c r="F969" s="4">
        <v>503.58762569999999</v>
      </c>
      <c r="G969" s="4">
        <v>244.10568860000001</v>
      </c>
      <c r="H969" s="4">
        <v>34.22919812</v>
      </c>
      <c r="I969" t="s">
        <v>18</v>
      </c>
      <c r="J969" s="1">
        <v>45908</v>
      </c>
      <c r="K969" s="4" t="str">
        <f>TRIM(CLEAN(Table1[[#This Row],[Region]]))</f>
        <v>West</v>
      </c>
    </row>
    <row r="970" spans="1:11" x14ac:dyDescent="0.3">
      <c r="A970" s="2">
        <v>983</v>
      </c>
      <c r="B970" t="s">
        <v>12</v>
      </c>
      <c r="C970" t="s">
        <v>20</v>
      </c>
      <c r="D970" s="4">
        <v>52.918617619999999</v>
      </c>
      <c r="E970" s="4">
        <v>335.09665649999999</v>
      </c>
      <c r="F970" s="4">
        <v>600.96048050000002</v>
      </c>
      <c r="G970" s="4">
        <v>196.250519</v>
      </c>
      <c r="H970" s="4">
        <v>33.731242700000003</v>
      </c>
      <c r="I970" t="s">
        <v>20</v>
      </c>
      <c r="J970" s="1">
        <v>45909</v>
      </c>
      <c r="K970" s="4" t="str">
        <f>TRIM(CLEAN(Table1[[#This Row],[Region]]))</f>
        <v>South</v>
      </c>
    </row>
    <row r="971" spans="1:11" x14ac:dyDescent="0.3">
      <c r="A971" s="2">
        <v>985</v>
      </c>
      <c r="B971" t="s">
        <v>12</v>
      </c>
      <c r="C971" t="s">
        <v>17</v>
      </c>
      <c r="D971" s="4">
        <v>50.539879999999997</v>
      </c>
      <c r="E971" s="4">
        <v>707.56375419999995</v>
      </c>
      <c r="F971" s="4">
        <v>282.52888630000001</v>
      </c>
      <c r="G971" s="4">
        <v>174.89419100000001</v>
      </c>
      <c r="H971" s="4">
        <v>29.210789890000001</v>
      </c>
      <c r="I971" t="s">
        <v>18</v>
      </c>
      <c r="J971" s="1">
        <v>45911</v>
      </c>
      <c r="K971" s="4" t="str">
        <f>TRIM(CLEAN(Table1[[#This Row],[Region]]))</f>
        <v>South</v>
      </c>
    </row>
    <row r="972" spans="1:11" x14ac:dyDescent="0.3">
      <c r="A972" s="2">
        <v>986</v>
      </c>
      <c r="B972" t="s">
        <v>12</v>
      </c>
      <c r="C972" t="s">
        <v>19</v>
      </c>
      <c r="D972" s="4">
        <v>61.273582429999998</v>
      </c>
      <c r="E972" s="4">
        <v>462.77275159999999</v>
      </c>
      <c r="F972" s="4">
        <v>660.66542300000003</v>
      </c>
      <c r="G972" s="4">
        <v>149.63750709999999</v>
      </c>
      <c r="H972" s="4">
        <v>27.319591020000001</v>
      </c>
      <c r="I972" t="s">
        <v>16</v>
      </c>
      <c r="J972" s="1">
        <v>45912</v>
      </c>
      <c r="K972" s="4" t="str">
        <f>TRIM(CLEAN(Table1[[#This Row],[Region]]))</f>
        <v>South</v>
      </c>
    </row>
    <row r="973" spans="1:11" x14ac:dyDescent="0.3">
      <c r="A973" s="2">
        <v>987</v>
      </c>
      <c r="B973" t="s">
        <v>12</v>
      </c>
      <c r="C973" t="s">
        <v>20</v>
      </c>
      <c r="D973" s="4">
        <v>45.5208552</v>
      </c>
      <c r="E973" s="4">
        <v>582.47490070000003</v>
      </c>
      <c r="F973" s="4">
        <v>619.75001650000002</v>
      </c>
      <c r="G973" s="4">
        <v>197.44696669999999</v>
      </c>
      <c r="H973" s="4">
        <v>44.458514950000001</v>
      </c>
      <c r="I973" t="s">
        <v>18</v>
      </c>
      <c r="J973" s="1">
        <v>45913</v>
      </c>
      <c r="K973" s="4" t="str">
        <f>TRIM(CLEAN(Table1[[#This Row],[Region]]))</f>
        <v>South</v>
      </c>
    </row>
    <row r="974" spans="1:11" x14ac:dyDescent="0.3">
      <c r="A974" s="2">
        <v>988</v>
      </c>
      <c r="B974" t="s">
        <v>21</v>
      </c>
      <c r="C974" t="s">
        <v>19</v>
      </c>
      <c r="D974" s="4">
        <v>37.241679130000001</v>
      </c>
      <c r="E974" s="4">
        <v>581.60068490000003</v>
      </c>
      <c r="F974" s="4">
        <v>469.52927840000001</v>
      </c>
      <c r="G974" s="4">
        <v>187.65573019999999</v>
      </c>
      <c r="H974" s="4">
        <v>31.391790830000001</v>
      </c>
      <c r="I974" t="s">
        <v>18</v>
      </c>
      <c r="J974" s="1">
        <v>45914</v>
      </c>
      <c r="K974" s="4" t="str">
        <f>TRIM(CLEAN(Table1[[#This Row],[Region]]))</f>
        <v>South</v>
      </c>
    </row>
    <row r="975" spans="1:11" x14ac:dyDescent="0.3">
      <c r="A975" s="2">
        <v>989</v>
      </c>
      <c r="B975" t="s">
        <v>20</v>
      </c>
      <c r="C975" t="s">
        <v>15</v>
      </c>
      <c r="D975" s="4">
        <v>49.698557299999997</v>
      </c>
      <c r="E975" s="4">
        <v>586.51986079999995</v>
      </c>
      <c r="F975" s="4">
        <v>582.41057420000004</v>
      </c>
      <c r="G975" s="4">
        <v>307.25182100000001</v>
      </c>
      <c r="H975" s="4">
        <v>25.80259204</v>
      </c>
      <c r="I975" t="s">
        <v>18</v>
      </c>
      <c r="J975" s="1">
        <v>45915</v>
      </c>
      <c r="K975" s="4" t="str">
        <f>TRIM(CLEAN(Table1[[#This Row],[Region]]))</f>
        <v>Unknown</v>
      </c>
    </row>
    <row r="976" spans="1:11" x14ac:dyDescent="0.3">
      <c r="A976" s="2">
        <v>990</v>
      </c>
      <c r="B976" t="s">
        <v>13</v>
      </c>
      <c r="C976" t="s">
        <v>17</v>
      </c>
      <c r="D976" s="4">
        <v>44.322942159999997</v>
      </c>
      <c r="E976" s="4">
        <v>516.66616869999996</v>
      </c>
      <c r="F976" s="4">
        <v>435.67359219999997</v>
      </c>
      <c r="G976" s="4">
        <v>244.73385709999999</v>
      </c>
      <c r="H976" s="4">
        <v>36.610835729999998</v>
      </c>
      <c r="I976" t="s">
        <v>18</v>
      </c>
      <c r="J976" s="1">
        <v>45916</v>
      </c>
      <c r="K976" s="4" t="str">
        <f>TRIM(CLEAN(Table1[[#This Row],[Region]]))</f>
        <v>East</v>
      </c>
    </row>
    <row r="977" spans="1:11" x14ac:dyDescent="0.3">
      <c r="A977" s="2">
        <v>991</v>
      </c>
      <c r="B977" t="s">
        <v>13</v>
      </c>
      <c r="C977" t="s">
        <v>20</v>
      </c>
      <c r="D977" s="4">
        <v>34.754787129999997</v>
      </c>
      <c r="E977" s="4">
        <v>556.60859830000004</v>
      </c>
      <c r="F977" s="4">
        <v>491.63642119999997</v>
      </c>
      <c r="G977" s="4">
        <v>248.47740329999999</v>
      </c>
      <c r="H977" s="4">
        <v>36.787306829999999</v>
      </c>
      <c r="I977" t="s">
        <v>16</v>
      </c>
      <c r="J977" s="1">
        <v>45917</v>
      </c>
      <c r="K977" s="4" t="str">
        <f>TRIM(CLEAN(Table1[[#This Row],[Region]]))</f>
        <v>East</v>
      </c>
    </row>
    <row r="978" spans="1:11" x14ac:dyDescent="0.3">
      <c r="A978" s="2">
        <v>992</v>
      </c>
      <c r="B978" t="s">
        <v>20</v>
      </c>
      <c r="C978" t="s">
        <v>15</v>
      </c>
      <c r="D978" s="4">
        <v>52.409249969999998</v>
      </c>
      <c r="E978" s="4">
        <v>569.90136199999995</v>
      </c>
      <c r="F978" s="4">
        <v>462.68544689999999</v>
      </c>
      <c r="G978" s="4">
        <v>223.56762449999999</v>
      </c>
      <c r="H978" s="4">
        <v>38.958353549999998</v>
      </c>
      <c r="I978" t="s">
        <v>18</v>
      </c>
      <c r="J978" s="1">
        <v>45918</v>
      </c>
      <c r="K978" s="4" t="str">
        <f>TRIM(CLEAN(Table1[[#This Row],[Region]]))</f>
        <v>Unknown</v>
      </c>
    </row>
    <row r="979" spans="1:11" x14ac:dyDescent="0.3">
      <c r="A979" s="2">
        <v>993</v>
      </c>
      <c r="B979" t="s">
        <v>12</v>
      </c>
      <c r="C979" t="s">
        <v>19</v>
      </c>
      <c r="D979" s="4">
        <v>52.658862980000002</v>
      </c>
      <c r="E979" s="4">
        <v>563.54460280000001</v>
      </c>
      <c r="F979" s="4">
        <v>440.52670979999999</v>
      </c>
      <c r="G979" s="4">
        <v>181.63411769999999</v>
      </c>
      <c r="H979" s="4">
        <v>40.439968409999999</v>
      </c>
      <c r="I979" t="s">
        <v>16</v>
      </c>
      <c r="J979" s="1">
        <v>45919</v>
      </c>
      <c r="K979" s="4" t="str">
        <f>TRIM(CLEAN(Table1[[#This Row],[Region]]))</f>
        <v>South</v>
      </c>
    </row>
    <row r="980" spans="1:11" x14ac:dyDescent="0.3">
      <c r="A980" s="2">
        <v>994</v>
      </c>
      <c r="B980" t="s">
        <v>10</v>
      </c>
      <c r="C980" t="s">
        <v>19</v>
      </c>
      <c r="D980" s="4">
        <v>67.691166999999993</v>
      </c>
      <c r="E980" s="4">
        <v>388.2581826</v>
      </c>
      <c r="F980" s="4">
        <v>523.11630960000002</v>
      </c>
      <c r="G980" s="4">
        <v>186.2305021</v>
      </c>
      <c r="H980" s="4">
        <v>33.538574410000003</v>
      </c>
      <c r="I980" t="s">
        <v>16</v>
      </c>
      <c r="J980" s="1">
        <v>45920</v>
      </c>
      <c r="K980" s="4" t="str">
        <f>TRIM(CLEAN(Table1[[#This Row],[Region]]))</f>
        <v>West</v>
      </c>
    </row>
    <row r="981" spans="1:11" x14ac:dyDescent="0.3">
      <c r="A981" s="2">
        <v>995</v>
      </c>
      <c r="B981" t="s">
        <v>14</v>
      </c>
      <c r="C981" t="s">
        <v>15</v>
      </c>
      <c r="D981" s="4">
        <v>46.382369310000001</v>
      </c>
      <c r="E981" s="4">
        <v>329.26155169999998</v>
      </c>
      <c r="F981" s="4">
        <v>335.01854120000002</v>
      </c>
      <c r="G981" s="4">
        <v>190.806535</v>
      </c>
      <c r="H981" s="4">
        <v>28.25074128</v>
      </c>
      <c r="I981" t="s">
        <v>20</v>
      </c>
      <c r="J981" s="1">
        <v>45921</v>
      </c>
      <c r="K981" s="4" t="str">
        <f>TRIM(CLEAN(Table1[[#This Row],[Region]]))</f>
        <v>North</v>
      </c>
    </row>
    <row r="982" spans="1:11" x14ac:dyDescent="0.3">
      <c r="A982" s="2">
        <v>996</v>
      </c>
      <c r="B982" t="s">
        <v>21</v>
      </c>
      <c r="C982" t="s">
        <v>15</v>
      </c>
      <c r="D982" s="4">
        <v>52.80121389</v>
      </c>
      <c r="E982" s="4">
        <v>344.64164570000003</v>
      </c>
      <c r="F982" s="4">
        <v>449.81030029999999</v>
      </c>
      <c r="G982" s="4">
        <v>209.4116636</v>
      </c>
      <c r="H982" s="4">
        <v>28.98691616</v>
      </c>
      <c r="I982" t="s">
        <v>16</v>
      </c>
      <c r="J982" s="1">
        <v>45922</v>
      </c>
      <c r="K982" s="4" t="str">
        <f>TRIM(CLEAN(Table1[[#This Row],[Region]]))</f>
        <v>South</v>
      </c>
    </row>
    <row r="983" spans="1:11" x14ac:dyDescent="0.3">
      <c r="A983" s="2">
        <v>997</v>
      </c>
      <c r="B983" t="s">
        <v>14</v>
      </c>
      <c r="C983" t="s">
        <v>19</v>
      </c>
      <c r="D983" s="4">
        <v>43.345145850000002</v>
      </c>
      <c r="E983" s="4">
        <v>503.25760000000002</v>
      </c>
      <c r="F983" s="4">
        <v>517.73753669999996</v>
      </c>
      <c r="G983" s="4">
        <v>219.45849050000001</v>
      </c>
      <c r="H983" s="4">
        <v>28.53962349</v>
      </c>
      <c r="I983" t="s">
        <v>16</v>
      </c>
      <c r="J983" s="1">
        <v>45923</v>
      </c>
      <c r="K983" s="4" t="str">
        <f>TRIM(CLEAN(Table1[[#This Row],[Region]]))</f>
        <v>North</v>
      </c>
    </row>
    <row r="984" spans="1:11" x14ac:dyDescent="0.3">
      <c r="A984" s="2">
        <v>998</v>
      </c>
      <c r="B984" t="s">
        <v>20</v>
      </c>
      <c r="C984" t="s">
        <v>11</v>
      </c>
      <c r="D984" s="4">
        <v>58.731694310000002</v>
      </c>
      <c r="E984" s="4">
        <v>559.39267340000004</v>
      </c>
      <c r="F984" s="4">
        <v>700.57208500000002</v>
      </c>
      <c r="G984" s="4">
        <v>200.03543139999999</v>
      </c>
      <c r="H984" s="4">
        <v>27.981223159999999</v>
      </c>
      <c r="I984" t="s">
        <v>18</v>
      </c>
      <c r="J984" s="1">
        <v>45924</v>
      </c>
      <c r="K984" s="4" t="str">
        <f>TRIM(CLEAN(Table1[[#This Row],[Region]]))</f>
        <v>Unknown</v>
      </c>
    </row>
    <row r="985" spans="1:11" x14ac:dyDescent="0.3">
      <c r="A985" s="2">
        <v>999</v>
      </c>
      <c r="B985" t="s">
        <v>10</v>
      </c>
      <c r="C985" t="s">
        <v>17</v>
      </c>
      <c r="D985" s="4">
        <v>48.753822040000003</v>
      </c>
      <c r="E985" s="4">
        <v>389.5588722</v>
      </c>
      <c r="F985" s="4">
        <v>339.89589419999999</v>
      </c>
      <c r="G985" s="4">
        <v>185.4700761</v>
      </c>
      <c r="H985" s="4">
        <v>36.199684040000001</v>
      </c>
      <c r="I985" t="s">
        <v>16</v>
      </c>
      <c r="J985" s="1">
        <v>45925</v>
      </c>
      <c r="K985" s="4" t="str">
        <f>TRIM(CLEAN(Table1[[#This Row],[Region]]))</f>
        <v>West</v>
      </c>
    </row>
    <row r="986" spans="1:11" x14ac:dyDescent="0.3">
      <c r="A986" s="2">
        <v>1000</v>
      </c>
      <c r="B986" t="s">
        <v>21</v>
      </c>
      <c r="C986" t="s">
        <v>20</v>
      </c>
      <c r="D986" s="4">
        <v>38.274083910000002</v>
      </c>
      <c r="E986" s="4">
        <v>592.39704589999997</v>
      </c>
      <c r="F986" s="4">
        <v>542.46636690000003</v>
      </c>
      <c r="G986" s="4">
        <v>170.2942185</v>
      </c>
      <c r="H986" s="4">
        <v>30.00360453</v>
      </c>
      <c r="I986" t="s">
        <v>16</v>
      </c>
      <c r="J986" s="1">
        <v>45926</v>
      </c>
      <c r="K986" s="4" t="str">
        <f>TRIM(CLEAN(Table1[[#This Row],[Region]]))</f>
        <v>South</v>
      </c>
    </row>
    <row r="987" spans="1:11" x14ac:dyDescent="0.3">
      <c r="A987" s="2" t="s">
        <v>20</v>
      </c>
      <c r="B987" t="s">
        <v>10</v>
      </c>
      <c r="C987" t="s">
        <v>19</v>
      </c>
      <c r="D987" s="4">
        <v>52.65056045</v>
      </c>
      <c r="E987" s="4">
        <v>429.27066189999999</v>
      </c>
      <c r="F987" s="4">
        <v>490.93210399999998</v>
      </c>
      <c r="G987" s="4">
        <v>137.0987652</v>
      </c>
      <c r="H987" s="4">
        <v>36.9274317</v>
      </c>
      <c r="I987" t="s">
        <v>18</v>
      </c>
      <c r="J987" s="1">
        <v>45647</v>
      </c>
      <c r="K987" s="4" t="str">
        <f>TRIM(CLEAN(Table1[[#This Row],[Region]]))</f>
        <v>West</v>
      </c>
    </row>
    <row r="988" spans="1:11" x14ac:dyDescent="0.3">
      <c r="A988" s="2" t="s">
        <v>20</v>
      </c>
      <c r="B988" t="s">
        <v>20</v>
      </c>
      <c r="C988" t="s">
        <v>19</v>
      </c>
      <c r="D988" s="4">
        <v>50.301615730000002</v>
      </c>
      <c r="E988" s="4">
        <v>501.80416489999999</v>
      </c>
      <c r="F988" s="4">
        <v>488.23644580000001</v>
      </c>
      <c r="G988" s="4">
        <v>173.9702911</v>
      </c>
      <c r="H988" s="4">
        <v>31.367643860000001</v>
      </c>
      <c r="I988" t="s">
        <v>16</v>
      </c>
      <c r="J988" s="1">
        <v>45764</v>
      </c>
      <c r="K988" s="4" t="str">
        <f>TRIM(CLEAN(Table1[[#This Row],[Region]]))</f>
        <v>Unknown</v>
      </c>
    </row>
    <row r="989" spans="1:11" x14ac:dyDescent="0.3">
      <c r="A989" s="2" t="s">
        <v>20</v>
      </c>
      <c r="B989" t="s">
        <v>13</v>
      </c>
      <c r="C989" t="s">
        <v>11</v>
      </c>
      <c r="D989" s="4">
        <v>68.113750289999999</v>
      </c>
      <c r="E989" s="4">
        <v>553.83240220000005</v>
      </c>
      <c r="F989" s="4">
        <v>518.29923480000002</v>
      </c>
      <c r="G989" s="4">
        <v>203.9451416</v>
      </c>
      <c r="H989" s="4">
        <v>29.938862069999999</v>
      </c>
      <c r="I989" t="s">
        <v>20</v>
      </c>
      <c r="J989" s="1">
        <v>45445</v>
      </c>
      <c r="K989" s="4" t="str">
        <f>TRIM(CLEAN(Table1[[#This Row],[Region]]))</f>
        <v>East</v>
      </c>
    </row>
    <row r="990" spans="1:11" x14ac:dyDescent="0.3">
      <c r="A990" s="2" t="s">
        <v>20</v>
      </c>
      <c r="B990" t="s">
        <v>21</v>
      </c>
      <c r="C990" t="s">
        <v>17</v>
      </c>
      <c r="D990" s="4">
        <v>58.994649709999997</v>
      </c>
      <c r="E990" s="4">
        <v>500.98806100000002</v>
      </c>
      <c r="F990" s="4">
        <v>414.04744979999998</v>
      </c>
      <c r="G990" s="4">
        <v>157.12162129999999</v>
      </c>
      <c r="H990" s="4">
        <v>26.60923769</v>
      </c>
      <c r="I990" t="s">
        <v>16</v>
      </c>
      <c r="J990" s="1">
        <v>45910</v>
      </c>
      <c r="K990" s="4" t="str">
        <f>TRIM(CLEAN(Table1[[#This Row],[Region]]))</f>
        <v>South</v>
      </c>
    </row>
    <row r="991" spans="1:11" x14ac:dyDescent="0.3">
      <c r="A991" s="2" t="s">
        <v>20</v>
      </c>
      <c r="B991" t="s">
        <v>20</v>
      </c>
      <c r="C991" t="s">
        <v>11</v>
      </c>
      <c r="D991" s="4">
        <v>70.03407267</v>
      </c>
      <c r="E991" s="4">
        <v>495.83191979999998</v>
      </c>
      <c r="F991" s="4">
        <v>419.53838969999998</v>
      </c>
      <c r="G991" s="4">
        <v>183.97202089999999</v>
      </c>
      <c r="H991" s="4">
        <v>35.953730579999998</v>
      </c>
      <c r="I991" t="s">
        <v>16</v>
      </c>
      <c r="J991" s="1">
        <v>45096</v>
      </c>
      <c r="K991" s="4" t="str">
        <f>TRIM(CLEAN(Table1[[#This Row],[Region]]))</f>
        <v>Unknown</v>
      </c>
    </row>
    <row r="992" spans="1:11" x14ac:dyDescent="0.3">
      <c r="A992" s="2" t="s">
        <v>20</v>
      </c>
      <c r="B992" t="s">
        <v>14</v>
      </c>
      <c r="C992" t="s">
        <v>19</v>
      </c>
      <c r="D992" s="4">
        <v>43.495869650000003</v>
      </c>
      <c r="E992" s="4">
        <v>370.08833559999999</v>
      </c>
      <c r="F992" s="4">
        <v>379.4748682</v>
      </c>
      <c r="G992" s="4">
        <v>246.59672710000001</v>
      </c>
      <c r="H992" s="4">
        <v>28.69912325</v>
      </c>
      <c r="I992" t="s">
        <v>16</v>
      </c>
      <c r="J992" s="1">
        <v>45295</v>
      </c>
      <c r="K992" s="4" t="str">
        <f>TRIM(CLEAN(Table1[[#This Row],[Region]]))</f>
        <v>North</v>
      </c>
    </row>
    <row r="993" spans="1:11" x14ac:dyDescent="0.3">
      <c r="A993" s="2" t="s">
        <v>20</v>
      </c>
      <c r="B993" t="s">
        <v>13</v>
      </c>
      <c r="C993" t="s">
        <v>17</v>
      </c>
      <c r="D993" s="4">
        <v>50.871864039999998</v>
      </c>
      <c r="E993" s="4">
        <v>503.25760000000002</v>
      </c>
      <c r="F993" s="4">
        <v>384.92419289999998</v>
      </c>
      <c r="G993" s="4">
        <v>180.88863810000001</v>
      </c>
      <c r="H993" s="4">
        <v>33.386042609999997</v>
      </c>
      <c r="I993" t="s">
        <v>16</v>
      </c>
      <c r="J993" s="1">
        <v>45267</v>
      </c>
      <c r="K993" s="4" t="str">
        <f>TRIM(CLEAN(Table1[[#This Row],[Region]]))</f>
        <v>East</v>
      </c>
    </row>
    <row r="994" spans="1:11" x14ac:dyDescent="0.3">
      <c r="A994" s="2" t="s">
        <v>20</v>
      </c>
      <c r="B994" t="s">
        <v>20</v>
      </c>
      <c r="C994" t="s">
        <v>11</v>
      </c>
      <c r="D994" s="4">
        <v>39.054134599999998</v>
      </c>
      <c r="E994" s="4">
        <v>479.42314019999998</v>
      </c>
      <c r="F994" s="4">
        <v>401.66298189999998</v>
      </c>
      <c r="G994" s="4">
        <v>256.87695070000001</v>
      </c>
      <c r="H994" s="4">
        <v>31.087897680000001</v>
      </c>
      <c r="I994" t="s">
        <v>16</v>
      </c>
      <c r="J994" s="1">
        <v>45844</v>
      </c>
      <c r="K994" s="4" t="str">
        <f>TRIM(CLEAN(Table1[[#This Row],[Region]]))</f>
        <v>Unknown</v>
      </c>
    </row>
    <row r="995" spans="1:11" x14ac:dyDescent="0.3">
      <c r="A995" s="2" t="s">
        <v>20</v>
      </c>
      <c r="B995" t="s">
        <v>10</v>
      </c>
      <c r="C995" t="s">
        <v>15</v>
      </c>
      <c r="D995" s="4">
        <v>44.265621779999996</v>
      </c>
      <c r="E995" s="4">
        <v>503.25760000000002</v>
      </c>
      <c r="F995" s="4">
        <v>427.3504896</v>
      </c>
      <c r="G995" s="4">
        <v>215.97963250000001</v>
      </c>
      <c r="H995" s="4">
        <v>30.244345920000001</v>
      </c>
      <c r="I995" t="s">
        <v>20</v>
      </c>
      <c r="J995" s="1">
        <v>45540</v>
      </c>
      <c r="K995" s="4" t="str">
        <f>TRIM(CLEAN(Table1[[#This Row],[Region]]))</f>
        <v>West</v>
      </c>
    </row>
    <row r="996" spans="1:11" x14ac:dyDescent="0.3">
      <c r="A996" s="2" t="s">
        <v>20</v>
      </c>
      <c r="B996" t="s">
        <v>13</v>
      </c>
      <c r="C996" t="s">
        <v>11</v>
      </c>
      <c r="D996" s="4">
        <v>50.539879999999997</v>
      </c>
      <c r="E996" s="4">
        <v>654.75700949999998</v>
      </c>
      <c r="F996" s="4">
        <v>592.13133400000004</v>
      </c>
      <c r="G996" s="4">
        <v>168.2288447</v>
      </c>
      <c r="H996" s="4">
        <v>24.875359670000002</v>
      </c>
      <c r="I996" t="s">
        <v>16</v>
      </c>
      <c r="J996" s="1">
        <v>45102</v>
      </c>
      <c r="K996" s="4" t="str">
        <f>TRIM(CLEAN(Table1[[#This Row],[Region]]))</f>
        <v>East</v>
      </c>
    </row>
    <row r="997" spans="1:11" x14ac:dyDescent="0.3">
      <c r="A997" s="2" t="s">
        <v>20</v>
      </c>
      <c r="B997" t="s">
        <v>20</v>
      </c>
      <c r="C997" t="s">
        <v>11</v>
      </c>
      <c r="D997" s="4">
        <v>59.213496030000002</v>
      </c>
      <c r="E997" s="4">
        <v>333.87568370000002</v>
      </c>
      <c r="F997" s="4">
        <v>342.0754068</v>
      </c>
      <c r="G997" s="4">
        <v>266.05308689999998</v>
      </c>
      <c r="H997" s="4">
        <v>39.267053990000001</v>
      </c>
      <c r="I997" t="s">
        <v>18</v>
      </c>
      <c r="J997" s="1">
        <v>45364</v>
      </c>
      <c r="K997" s="4" t="str">
        <f>TRIM(CLEAN(Table1[[#This Row],[Region]]))</f>
        <v>Unknown</v>
      </c>
    </row>
    <row r="998" spans="1:11" x14ac:dyDescent="0.3">
      <c r="A998" s="2" t="s">
        <v>20</v>
      </c>
      <c r="B998" t="s">
        <v>14</v>
      </c>
      <c r="C998" t="s">
        <v>15</v>
      </c>
      <c r="D998" s="4">
        <v>40.336876140000001</v>
      </c>
      <c r="E998" s="4">
        <v>584.6518092</v>
      </c>
      <c r="F998" s="4">
        <v>537.45824979999998</v>
      </c>
      <c r="G998" s="4">
        <v>145.7964758</v>
      </c>
      <c r="H998" s="4">
        <v>28.9115717</v>
      </c>
      <c r="I998" t="s">
        <v>18</v>
      </c>
      <c r="J998" s="1">
        <v>45705</v>
      </c>
      <c r="K998" s="4" t="str">
        <f>TRIM(CLEAN(Table1[[#This Row],[Region]]))</f>
        <v>North</v>
      </c>
    </row>
    <row r="999" spans="1:11" x14ac:dyDescent="0.3">
      <c r="A999" s="2" t="s">
        <v>20</v>
      </c>
      <c r="B999" t="s">
        <v>10</v>
      </c>
      <c r="C999" t="s">
        <v>19</v>
      </c>
      <c r="D999" s="4">
        <v>43.305898050000003</v>
      </c>
      <c r="E999" s="4">
        <v>450.06157009999998</v>
      </c>
      <c r="F999" s="4">
        <v>390.93023840000001</v>
      </c>
      <c r="G999" s="4">
        <v>183.1830823</v>
      </c>
      <c r="H999" s="4">
        <v>30.84256701</v>
      </c>
      <c r="I999" t="s">
        <v>16</v>
      </c>
      <c r="J999" s="1">
        <v>45782</v>
      </c>
      <c r="K999" s="4" t="str">
        <f>TRIM(CLEAN(Table1[[#This Row],[Region]]))</f>
        <v>West</v>
      </c>
    </row>
    <row r="1000" spans="1:11" x14ac:dyDescent="0.3">
      <c r="A1000" s="2" t="s">
        <v>20</v>
      </c>
      <c r="B1000" t="s">
        <v>10</v>
      </c>
      <c r="C1000" t="s">
        <v>19</v>
      </c>
      <c r="D1000" s="4">
        <v>47.910395129999998</v>
      </c>
      <c r="E1000" s="4">
        <v>693.47059979999995</v>
      </c>
      <c r="F1000" s="4">
        <v>397.68023499999998</v>
      </c>
      <c r="G1000" s="4">
        <v>75.382843600000001</v>
      </c>
      <c r="H1000" s="4">
        <v>25.509153080000001</v>
      </c>
      <c r="I1000" t="s">
        <v>18</v>
      </c>
      <c r="J1000" s="1">
        <v>45328</v>
      </c>
      <c r="K1000" s="4" t="str">
        <f>TRIM(CLEAN(Table1[[#This Row],[Region]]))</f>
        <v>West</v>
      </c>
    </row>
    <row r="1001" spans="1:11" x14ac:dyDescent="0.3">
      <c r="A1001" s="2" t="s">
        <v>20</v>
      </c>
      <c r="B1001" t="s">
        <v>12</v>
      </c>
      <c r="C1001" t="s">
        <v>17</v>
      </c>
      <c r="D1001" s="4">
        <v>32.660164709999997</v>
      </c>
      <c r="E1001" s="4">
        <v>402.21627999999998</v>
      </c>
      <c r="F1001" s="4">
        <v>410.669939</v>
      </c>
      <c r="G1001" s="4">
        <v>188.20150419999999</v>
      </c>
      <c r="H1001" s="4">
        <v>28.243639810000001</v>
      </c>
      <c r="I1001" t="s">
        <v>16</v>
      </c>
      <c r="J1001" s="1">
        <v>45824</v>
      </c>
      <c r="K1001" s="4" t="str">
        <f>TRIM(CLEAN(Table1[[#This Row],[Region]]))</f>
        <v>South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A413E-7A71-4842-BBF9-BE9B3C87F07F}">
  <dimension ref="A3:F87"/>
  <sheetViews>
    <sheetView workbookViewId="0">
      <selection activeCell="B51" sqref="B51"/>
    </sheetView>
  </sheetViews>
  <sheetFormatPr defaultRowHeight="14.4" x14ac:dyDescent="0.3"/>
  <cols>
    <col min="1" max="1" width="12.44140625" bestFit="1" customWidth="1"/>
    <col min="2" max="2" width="22.77734375" bestFit="1" customWidth="1"/>
    <col min="3" max="3" width="17.5546875" bestFit="1" customWidth="1"/>
    <col min="4" max="4" width="7.77734375" bestFit="1" customWidth="1"/>
    <col min="5" max="5" width="5.88671875" bestFit="1" customWidth="1"/>
    <col min="6" max="6" width="10.5546875" bestFit="1" customWidth="1"/>
  </cols>
  <sheetData>
    <row r="3" spans="1:3" x14ac:dyDescent="0.3">
      <c r="A3" s="5" t="s">
        <v>27</v>
      </c>
      <c r="B3" t="s">
        <v>29</v>
      </c>
      <c r="C3" t="s">
        <v>30</v>
      </c>
    </row>
    <row r="4" spans="1:3" x14ac:dyDescent="0.3">
      <c r="A4" s="6" t="s">
        <v>13</v>
      </c>
      <c r="B4" s="3">
        <v>65638.310193399986</v>
      </c>
      <c r="C4" s="3">
        <v>61202.579112599989</v>
      </c>
    </row>
    <row r="5" spans="1:3" x14ac:dyDescent="0.3">
      <c r="A5" s="6" t="s">
        <v>14</v>
      </c>
      <c r="B5" s="3">
        <v>160012.07217719997</v>
      </c>
      <c r="C5" s="3">
        <v>143473.73224269997</v>
      </c>
    </row>
    <row r="6" spans="1:3" x14ac:dyDescent="0.3">
      <c r="A6" s="6" t="s">
        <v>12</v>
      </c>
      <c r="B6" s="3">
        <v>146044.41341659997</v>
      </c>
      <c r="C6" s="3">
        <v>130431.68944589997</v>
      </c>
    </row>
    <row r="7" spans="1:3" x14ac:dyDescent="0.3">
      <c r="A7" s="6" t="s">
        <v>10</v>
      </c>
      <c r="B7" s="3">
        <v>78132.346995199929</v>
      </c>
      <c r="C7" s="3">
        <v>75308.063428399997</v>
      </c>
    </row>
    <row r="8" spans="1:3" x14ac:dyDescent="0.3">
      <c r="A8" s="6" t="s">
        <v>28</v>
      </c>
      <c r="B8" s="3">
        <v>449827.14278239984</v>
      </c>
      <c r="C8" s="3">
        <v>410416.0642295999</v>
      </c>
    </row>
    <row r="19" spans="1:2" x14ac:dyDescent="0.3">
      <c r="A19" s="5" t="s">
        <v>27</v>
      </c>
      <c r="B19" t="s">
        <v>31</v>
      </c>
    </row>
    <row r="20" spans="1:2" x14ac:dyDescent="0.3">
      <c r="A20" s="6" t="s">
        <v>16</v>
      </c>
      <c r="B20">
        <v>383</v>
      </c>
    </row>
    <row r="21" spans="1:2" x14ac:dyDescent="0.3">
      <c r="A21" s="6" t="s">
        <v>18</v>
      </c>
      <c r="B21">
        <v>401</v>
      </c>
    </row>
    <row r="22" spans="1:2" x14ac:dyDescent="0.3">
      <c r="A22" s="6" t="s">
        <v>28</v>
      </c>
      <c r="B22">
        <v>784</v>
      </c>
    </row>
    <row r="34" spans="1:2" x14ac:dyDescent="0.3">
      <c r="A34" s="5" t="s">
        <v>27</v>
      </c>
      <c r="B34" t="s">
        <v>29</v>
      </c>
    </row>
    <row r="35" spans="1:2" x14ac:dyDescent="0.3">
      <c r="A35" s="6" t="s">
        <v>19</v>
      </c>
      <c r="B35" s="3">
        <v>174766.63963230007</v>
      </c>
    </row>
    <row r="36" spans="1:2" x14ac:dyDescent="0.3">
      <c r="A36" s="6" t="s">
        <v>15</v>
      </c>
      <c r="B36" s="3">
        <v>96180.147518600046</v>
      </c>
    </row>
    <row r="37" spans="1:2" x14ac:dyDescent="0.3">
      <c r="A37" s="6" t="s">
        <v>11</v>
      </c>
      <c r="B37" s="3">
        <v>88043.23735679996</v>
      </c>
    </row>
    <row r="38" spans="1:2" x14ac:dyDescent="0.3">
      <c r="A38" s="6" t="s">
        <v>17</v>
      </c>
      <c r="B38" s="3">
        <v>72983.091387499968</v>
      </c>
    </row>
    <row r="39" spans="1:2" x14ac:dyDescent="0.3">
      <c r="A39" s="6" t="s">
        <v>28</v>
      </c>
      <c r="B39" s="3">
        <v>431973.11589520006</v>
      </c>
    </row>
    <row r="49" spans="1:2" x14ac:dyDescent="0.3">
      <c r="A49" s="5" t="s">
        <v>27</v>
      </c>
      <c r="B49" t="s">
        <v>32</v>
      </c>
    </row>
    <row r="50" spans="1:2" x14ac:dyDescent="0.3">
      <c r="A50" s="6" t="s">
        <v>13</v>
      </c>
      <c r="B50" s="3">
        <v>194.58985732569224</v>
      </c>
    </row>
    <row r="51" spans="1:2" x14ac:dyDescent="0.3">
      <c r="A51" s="6" t="s">
        <v>14</v>
      </c>
      <c r="B51" s="3">
        <v>202.28169060418597</v>
      </c>
    </row>
    <row r="52" spans="1:2" x14ac:dyDescent="0.3">
      <c r="A52" s="6" t="s">
        <v>12</v>
      </c>
      <c r="B52" s="3">
        <v>200.72864048940301</v>
      </c>
    </row>
    <row r="53" spans="1:2" x14ac:dyDescent="0.3">
      <c r="A53" s="6" t="s">
        <v>10</v>
      </c>
      <c r="B53" s="3">
        <v>193.4826549673684</v>
      </c>
    </row>
    <row r="54" spans="1:2" x14ac:dyDescent="0.3">
      <c r="A54" s="6" t="s">
        <v>28</v>
      </c>
      <c r="B54" s="3">
        <v>199.04595714500573</v>
      </c>
    </row>
    <row r="64" spans="1:2" x14ac:dyDescent="0.3">
      <c r="A64" s="5" t="s">
        <v>37</v>
      </c>
      <c r="B64" s="5" t="s">
        <v>36</v>
      </c>
    </row>
    <row r="65" spans="1:6" x14ac:dyDescent="0.3">
      <c r="A65" s="5" t="s">
        <v>27</v>
      </c>
      <c r="B65" t="s">
        <v>19</v>
      </c>
      <c r="C65" t="s">
        <v>15</v>
      </c>
      <c r="D65" t="s">
        <v>11</v>
      </c>
      <c r="E65" t="s">
        <v>17</v>
      </c>
      <c r="F65" t="s">
        <v>28</v>
      </c>
    </row>
    <row r="66" spans="1:6" x14ac:dyDescent="0.3">
      <c r="A66" s="6" t="s">
        <v>33</v>
      </c>
      <c r="B66" s="3">
        <v>52.590521509338835</v>
      </c>
      <c r="C66" s="3">
        <v>67.707020337258072</v>
      </c>
      <c r="D66" s="3">
        <v>56.433513047142846</v>
      </c>
      <c r="E66" s="3">
        <v>53.570636532321423</v>
      </c>
      <c r="F66" s="3">
        <v>56.683121152508484</v>
      </c>
    </row>
    <row r="67" spans="1:6" x14ac:dyDescent="0.3">
      <c r="A67" s="6" t="s">
        <v>34</v>
      </c>
      <c r="B67" s="3">
        <v>54.977498803145174</v>
      </c>
      <c r="C67" s="3">
        <v>62.289239553939368</v>
      </c>
      <c r="D67" s="3">
        <v>53.472049022608701</v>
      </c>
      <c r="E67" s="3">
        <v>45.451033889333331</v>
      </c>
      <c r="F67" s="3">
        <v>54.813051216217112</v>
      </c>
    </row>
    <row r="68" spans="1:6" x14ac:dyDescent="0.3">
      <c r="A68" s="6" t="s">
        <v>35</v>
      </c>
      <c r="B68" s="3">
        <v>56.323990856373634</v>
      </c>
      <c r="C68" s="3">
        <v>52.344850470999994</v>
      </c>
      <c r="D68" s="3">
        <v>58.388799840487813</v>
      </c>
      <c r="E68" s="3">
        <v>56.973402644390248</v>
      </c>
      <c r="F68" s="3">
        <v>55.930834050941691</v>
      </c>
    </row>
    <row r="69" spans="1:6" x14ac:dyDescent="0.3">
      <c r="A69" s="6" t="s">
        <v>28</v>
      </c>
      <c r="B69" s="3">
        <v>54.482577744494066</v>
      </c>
      <c r="C69" s="3">
        <v>61.382964016966348</v>
      </c>
      <c r="D69" s="3">
        <v>55.685475341325294</v>
      </c>
      <c r="E69" s="3">
        <v>51.980011825704231</v>
      </c>
      <c r="F69" s="3">
        <v>55.787426159464722</v>
      </c>
    </row>
    <row r="82" spans="1:2" x14ac:dyDescent="0.3">
      <c r="A82" s="5" t="s">
        <v>27</v>
      </c>
      <c r="B82" t="s">
        <v>38</v>
      </c>
    </row>
    <row r="83" spans="1:2" x14ac:dyDescent="0.3">
      <c r="A83" s="6" t="s">
        <v>19</v>
      </c>
      <c r="B83" s="3">
        <v>29.592888721309524</v>
      </c>
    </row>
    <row r="84" spans="1:2" x14ac:dyDescent="0.3">
      <c r="A84" s="6" t="s">
        <v>15</v>
      </c>
      <c r="B84" s="3">
        <v>28.881769197752803</v>
      </c>
    </row>
    <row r="85" spans="1:2" x14ac:dyDescent="0.3">
      <c r="A85" s="6" t="s">
        <v>11</v>
      </c>
      <c r="B85" s="3">
        <v>30.541026477771055</v>
      </c>
    </row>
    <row r="86" spans="1:2" x14ac:dyDescent="0.3">
      <c r="A86" s="6" t="s">
        <v>17</v>
      </c>
      <c r="B86" s="3">
        <v>29.762394254295781</v>
      </c>
    </row>
    <row r="87" spans="1:2" x14ac:dyDescent="0.3">
      <c r="A87" s="6" t="s">
        <v>28</v>
      </c>
      <c r="B87" s="3">
        <v>29.659654388053532</v>
      </c>
    </row>
  </sheetData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Rice_price_dataset_dirty</vt:lpstr>
      <vt:lpstr>rice_price_dataset_cleaned</vt:lpstr>
      <vt:lpstr>Pivot Table&amp;Charts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DEVIKA Du</cp:lastModifiedBy>
  <dcterms:created xsi:type="dcterms:W3CDTF">2026-09-04T03:38:22Z</dcterms:created>
  <dcterms:modified xsi:type="dcterms:W3CDTF">2026-09-04T11:04:46Z</dcterms:modified>
</cp:coreProperties>
</file>